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入方法" sheetId="1" state="visible" r:id="rId1"/>
    <sheet xmlns:r="http://schemas.openxmlformats.org/officeDocument/2006/relationships" name="計算用（社内控え・非提出）" sheetId="2" state="visible" r:id="rId2"/>
    <sheet xmlns:r="http://schemas.openxmlformats.org/officeDocument/2006/relationships" name="提出用シート（総額のみ）" sheetId="3" state="visible" r:id="rId3"/>
  </sheets>
  <definedNames>
    <definedName name="_xlnm.Print_Area" localSheetId="1">'計算用（社内控え・非提出）'!$A$1:$V$1</definedName>
    <definedName name="_xlnm.Print_Area" localSheetId="2">'提出用シート（総額のみ）'!$A$1:$D$19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/d"/>
    <numFmt numFmtId="165" formatCode="0.0"/>
  </numFmts>
  <fonts count="11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sz val="10"/>
    </font>
    <font>
      <name val="游ゴシック"/>
      <b val="1"/>
      <sz val="10"/>
    </font>
    <font>
      <name val="游ゴシック"/>
      <color rgb="00974706"/>
      <sz val="10"/>
    </font>
    <font>
      <name val="游ゴシック"/>
      <sz val="9"/>
    </font>
    <font>
      <name val="游ゴシック"/>
      <color rgb="00808080"/>
      <sz val="9"/>
    </font>
    <font>
      <name val="游ゴシック"/>
      <b val="1"/>
      <color rgb="00C00000"/>
      <sz val="10"/>
    </font>
    <font>
      <name val="游ゴシック"/>
      <b val="1"/>
      <color rgb="001F4E78"/>
      <sz val="11"/>
    </font>
    <font>
      <name val="游ゴシック"/>
      <b val="1"/>
      <color rgb="00FFFFFF"/>
      <sz val="9"/>
    </font>
    <font>
      <name val="游ゴシック"/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FF00"/>
        <bgColor rgb="00FFFF00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4" fontId="2" fillId="3" borderId="1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2" fillId="3" borderId="1" applyAlignment="1" applyProtection="1" pivotButton="0" quotePrefix="0" xfId="0">
      <alignment horizontal="left" vertical="center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3" fontId="2" fillId="3" borderId="1" applyAlignment="1" applyProtection="1" pivotButton="0" quotePrefix="0" xfId="0">
      <alignment horizontal="center" vertical="center"/>
      <protection locked="0" hidden="0"/>
    </xf>
    <xf numFmtId="0" fontId="5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3" fontId="10" fillId="5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1" fontId="2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10" fillId="5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1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6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>
      <c r="B2" s="1" t="inlineStr">
        <is>
          <t>賃金台帳（総額提出用）シート</t>
        </is>
      </c>
    </row>
    <row r="3">
      <c r="B3" s="2" t="inlineStr"/>
    </row>
    <row r="4">
      <c r="B4" s="3" t="inlineStr">
        <is>
          <t>本シートは、賃金台帳（個人別の給与明細）の提出が難しい場合に、会社全体の</t>
        </is>
      </c>
    </row>
    <row r="5">
      <c r="B5" s="3" t="inlineStr">
        <is>
          <t>「集計値（総額・人数）」だけをご提出いただくための様式です（従業員30名分まで）。</t>
        </is>
      </c>
    </row>
    <row r="6">
      <c r="B6" s="2" t="inlineStr"/>
    </row>
    <row r="7">
      <c r="B7" s="4" t="inlineStr">
        <is>
          <t>【ご記入の流れ】</t>
        </is>
      </c>
    </row>
    <row r="8">
      <c r="B8" s="3" t="inlineStr">
        <is>
          <t>① 「計算用（社内控え・非提出）」シートに、対象期間（前期決算期の12ヶ月）と、</t>
        </is>
      </c>
    </row>
    <row r="9">
      <c r="B9" s="3" t="inlineStr">
        <is>
          <t xml:space="preserve">　 従業員お一人ずつの毎月の支給額などをご入力ください。</t>
        </is>
      </c>
    </row>
    <row r="10">
      <c r="B10" s="3" t="inlineStr">
        <is>
          <t>② 入力に応じて、補助金の要件に沿った合計・人数が自動で計算されます。</t>
        </is>
      </c>
    </row>
    <row r="11">
      <c r="B11" s="5" t="inlineStr">
        <is>
          <t xml:space="preserve">　 ⚠マークの警告が残っている間は集計が確定していません。すべて解消してください。</t>
        </is>
      </c>
    </row>
    <row r="12">
      <c r="B12" s="3" t="inlineStr">
        <is>
          <t>③ 「提出用シート（総額のみ）」に自動反映されるので、会社名・記入日を入れて</t>
        </is>
      </c>
    </row>
    <row r="13">
      <c r="B13" s="3" t="inlineStr">
        <is>
          <t xml:space="preserve">　 内容をご確認のうえ、そのシートだけをPDF化してご提出ください。</t>
        </is>
      </c>
    </row>
    <row r="14">
      <c r="B14" s="2" t="inlineStr"/>
    </row>
    <row r="15">
      <c r="B15" s="4" t="inlineStr">
        <is>
          <t>【入力欄の色】</t>
        </is>
      </c>
    </row>
    <row r="16">
      <c r="B16" s="3" t="inlineStr">
        <is>
          <t xml:space="preserve">　黄色のセル＝ご入力いただく欄　／　緑色のセル＝自動計算（入力不要）です。</t>
        </is>
      </c>
    </row>
    <row r="17">
      <c r="B17" s="2" t="inlineStr"/>
    </row>
    <row r="18">
      <c r="B18" s="4" t="inlineStr">
        <is>
          <t>【毎月の金額に入れるもの（重要）】</t>
        </is>
      </c>
    </row>
    <row r="19">
      <c r="B19" s="3" t="inlineStr">
        <is>
          <t>・各月の「総支給額」（基本給＋残業・役職・家族・住宅などの各種手当＋通勤手当を含む、</t>
        </is>
      </c>
    </row>
    <row r="20">
      <c r="B20" s="3" t="inlineStr">
        <is>
          <t xml:space="preserve">　社会保険料や税金を差し引く前の支給合計）を数字でご入力ください。</t>
        </is>
      </c>
    </row>
    <row r="21">
      <c r="B21" s="6" t="inlineStr">
        <is>
          <t>・給与ソフト等で各月の「課税支給合計（課税計）」が分かる場合は、そちらの方が正確です。</t>
        </is>
      </c>
    </row>
    <row r="22">
      <c r="B22" s="6" t="inlineStr">
        <is>
          <t xml:space="preserve">　その場合は「年間通勤手当」欄を空欄にしてください（二重に差し引かないため）。</t>
        </is>
      </c>
    </row>
    <row r="23">
      <c r="B23" s="3" t="inlineStr">
        <is>
          <t>・「1ヶ月目」＝対象期間（決算期）の最初の月です。暦年の1月ではありません。</t>
        </is>
      </c>
    </row>
    <row r="24">
      <c r="B24" s="6" t="inlineStr">
        <is>
          <t xml:space="preserve">　対象期間を入力すると、各月の見出しに実際の年月が自動表示されます。</t>
        </is>
      </c>
    </row>
    <row r="25">
      <c r="B25" s="2" t="inlineStr"/>
    </row>
    <row r="26">
      <c r="B26" s="4" t="inlineStr">
        <is>
          <t>【賞与（ボーナス）】</t>
        </is>
      </c>
    </row>
    <row r="27">
      <c r="B27" s="3" t="inlineStr">
        <is>
          <t>・毎月の欄には混ぜず、「年間賞与」欄にまとめてご入力ください。</t>
        </is>
      </c>
    </row>
    <row r="28">
      <c r="B28" s="3" t="inlineStr">
        <is>
          <t>・入れるのは「対象期間中に支給日がある賞与」の合計です（支給日ベース。</t>
        </is>
      </c>
    </row>
    <row r="29">
      <c r="B29" s="6" t="inlineStr">
        <is>
          <t xml:space="preserve">　査定の対象期間ではなく、実際に支払った日で判断してください）。</t>
        </is>
      </c>
    </row>
    <row r="30">
      <c r="B30" s="2" t="inlineStr"/>
    </row>
    <row r="31">
      <c r="B31" s="4" t="inlineStr">
        <is>
          <t>【年間通勤手当（非課税分）】</t>
        </is>
      </c>
    </row>
    <row r="32">
      <c r="B32" s="3" t="inlineStr">
        <is>
          <t>・毎月の欄に通勤手当を含めた場合は、非課税分の年間合計を必ずご記入ください。</t>
        </is>
      </c>
    </row>
    <row r="33">
      <c r="B33" s="6" t="inlineStr">
        <is>
          <t xml:space="preserve">　（補助金のルールで非課税の通勤手当は集計から除く決まりです。空欄のままだと</t>
        </is>
      </c>
    </row>
    <row r="34">
      <c r="B34" s="6" t="inlineStr">
        <is>
          <t xml:space="preserve">　総額が過大になり、賃上げ目標が実態より高く設定されてしまいます。金額は</t>
        </is>
      </c>
    </row>
    <row r="35">
      <c r="B35" s="6" t="inlineStr">
        <is>
          <t xml:space="preserve">　給与ソフトの「非課税支給額」や賃金台帳の通勤手当欄でご確認いただけます）</t>
        </is>
      </c>
    </row>
    <row r="36">
      <c r="B36" s="3" t="inlineStr">
        <is>
          <t>・通勤手当を支給していない場合、または毎月の欄に通勤手当を含めていない場合は空欄で。</t>
        </is>
      </c>
    </row>
    <row r="37">
      <c r="B37" s="2" t="inlineStr"/>
    </row>
    <row r="38">
      <c r="B38" s="4" t="inlineStr">
        <is>
          <t>【氏名について】</t>
        </is>
      </c>
    </row>
    <row r="39">
      <c r="B39" s="3" t="inlineStr">
        <is>
          <t>・氏名が空欄の行は集計されません。実名を書きたくない場合は「社員A」「従業員1」等の</t>
        </is>
      </c>
    </row>
    <row r="40">
      <c r="B40" s="6" t="inlineStr">
        <is>
          <t xml:space="preserve">　仮名でも構いません（このシート自体が社外非提出のため、実名でも問題ありません）。</t>
        </is>
      </c>
    </row>
    <row r="41">
      <c r="B41" s="2" t="inlineStr"/>
    </row>
    <row r="42">
      <c r="B42" s="4" t="inlineStr">
        <is>
          <t>【集計の対象になる方・ならない方】</t>
        </is>
      </c>
    </row>
    <row r="43">
      <c r="B43" s="3" t="inlineStr">
        <is>
          <t>・役員（取締役など）は、そもそもご記入いただかなくて結構です（補助金の集計対象外）。</t>
        </is>
      </c>
    </row>
    <row r="44">
      <c r="B44" s="6" t="inlineStr">
        <is>
          <t xml:space="preserve">　記入した場合も、雇用形態で「役員」を選べば自動で集計から外れます。</t>
        </is>
      </c>
    </row>
    <row r="45">
      <c r="B45" s="3" t="inlineStr">
        <is>
          <t>・中途入社・退職・休職などで12ヶ月そろわない方は、自動で集計対象外になります</t>
        </is>
      </c>
    </row>
    <row r="46">
      <c r="B46" s="6" t="inlineStr">
        <is>
          <t xml:space="preserve">　（補助金は「その年度に全月分の給与を受けた方」だけを数える決まりのためです）。</t>
        </is>
      </c>
    </row>
    <row r="47">
      <c r="B47" s="3" t="inlineStr">
        <is>
          <t>・賞与のみ支給の月（月給0円・賞与だけ支給）がある方を集計に入れたい場合は、</t>
        </is>
      </c>
    </row>
    <row r="48">
      <c r="B48" s="6" t="inlineStr">
        <is>
          <t xml:space="preserve">　その月の欄に賞与額を記入し、同額を「年間賞与」欄から差し引いてください（重複防止）。</t>
        </is>
      </c>
    </row>
    <row r="49">
      <c r="B49" s="3" t="inlineStr">
        <is>
          <t>・パート・アルバイトの方は「年間労働時間」を必ずご入力ください</t>
        </is>
      </c>
    </row>
    <row r="50">
      <c r="B50" s="6" t="inlineStr">
        <is>
          <t xml:space="preserve">　（人数を正社員の労働時間に換算するために使います。未入力の間は集計に入りません）。</t>
        </is>
      </c>
    </row>
    <row r="51">
      <c r="B51" s="3" t="inlineStr">
        <is>
          <t>・週の労働時間が正社員より短い契約社員の方は「パート・アルバイト」を選び、</t>
        </is>
      </c>
    </row>
    <row r="52">
      <c r="B52" s="6" t="inlineStr">
        <is>
          <t xml:space="preserve">　年間労働時間をご入力ください（労働時間で人数換算する決まりのためです）。</t>
        </is>
      </c>
    </row>
    <row r="53">
      <c r="B53" s="2" t="inlineStr"/>
    </row>
    <row r="54">
      <c r="B54" s="4" t="inlineStr">
        <is>
          <t>【この様式が使えないケース（担当までご相談ください）】</t>
        </is>
      </c>
    </row>
    <row r="55">
      <c r="B55" s="3" t="inlineStr">
        <is>
          <t>・従業員が31名以上いる／従業員を雇用していない（役員のみの）法人／</t>
        </is>
      </c>
    </row>
    <row r="56">
      <c r="B56" s="3" t="inlineStr">
        <is>
          <t xml:space="preserve">　直近の決算期が12ヶ月に満たない（設立初年度・決算期変更など）</t>
        </is>
      </c>
    </row>
    <row r="57">
      <c r="B57" s="2" t="inlineStr"/>
    </row>
    <row r="58">
      <c r="B58" s="7" t="inlineStr">
        <is>
          <t>【重要】ご提出は「提出用シート（総額のみ）」だけをお願いします。</t>
        </is>
      </c>
    </row>
    <row r="59">
      <c r="B59" s="7" t="inlineStr">
        <is>
          <t>「計算用（社内控え・非提出）」シートには個人ごとの給与が含まれるため、提出先へは共有せず、</t>
        </is>
      </c>
    </row>
    <row r="60">
      <c r="B60" s="7" t="inlineStr">
        <is>
          <t>御社内で保管してください。（誤ってExcelの「ブック全体」をPDF化しても、計算用シートの</t>
        </is>
      </c>
    </row>
    <row r="61">
      <c r="B61" s="7" t="inlineStr">
        <is>
          <t>個人明細は印刷されない設定にしてあります）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3" customWidth="1" min="17" max="17"/>
    <col width="12" customWidth="1" min="18" max="18"/>
    <col width="20" customWidth="1" min="19" max="19"/>
    <col width="13" customWidth="1" min="20" max="20"/>
    <col width="7" customWidth="1" min="21" max="21"/>
    <col width="34" customWidth="1" min="22" max="22"/>
  </cols>
  <sheetData>
    <row r="1">
      <c r="A1" s="7" t="inlineStr">
        <is>
          <t>※このシートは社内保管用です。個人ごとの給与情報を含むため、提出先には共有しないでください。</t>
        </is>
      </c>
    </row>
    <row r="3">
      <c r="A3" s="4" t="inlineStr">
        <is>
          <t>対象期間（前期決算期・12ヶ月）：</t>
        </is>
      </c>
      <c r="D3" s="8" t="n"/>
      <c r="E3" s="9" t="inlineStr">
        <is>
          <t>〜</t>
        </is>
      </c>
      <c r="F3" s="8" t="n"/>
      <c r="G3" s="10" t="inlineStr">
        <is>
          <t>（例：2025/7/1 〜 2026/6/30）</t>
        </is>
      </c>
    </row>
    <row r="4">
      <c r="A4" s="11">
        <f>IF(OR($D$3="",$F$3=""),"⚠対象期間が未入力です（決算期の開始日と終了日をご記入ください）",IFERROR(IF(EDATE($D$3,12)-1=$F$3,"","⚠対象期間が12ヶ月ちょうどになっていません（例：2025/7/1 〜 2026/6/30）"),"⚠対象期間の日付が読み取れません（日付形式でご入力ください）"))</f>
        <v/>
      </c>
    </row>
    <row r="5">
      <c r="A5" s="12" t="inlineStr">
        <is>
          <t>■ 従業員ごとの入力（黄＝入力／緑＝自動計算）　毎月の欄＝総支給額（控除前・通勤手当込／賞与は除く）</t>
        </is>
      </c>
    </row>
    <row r="6" ht="32" customHeight="1">
      <c r="A6" s="13" t="inlineStr">
        <is>
          <t>No</t>
        </is>
      </c>
      <c r="B6" s="13" t="inlineStr">
        <is>
          <t>氏名</t>
        </is>
      </c>
      <c r="C6" s="13" t="inlineStr">
        <is>
          <t>雇用形態</t>
        </is>
      </c>
      <c r="D6" s="13">
        <f>IF($D$3="","1ヶ月目","1ヶ月目"&amp;CHAR(10)&amp;IFERROR(TEXT(EDATE($D$3,0),"yyyy年m月"),""))</f>
        <v/>
      </c>
      <c r="E6" s="13">
        <f>IF($D$3="","2ヶ月目","2ヶ月目"&amp;CHAR(10)&amp;IFERROR(TEXT(EDATE($D$3,1),"yyyy年m月"),""))</f>
        <v/>
      </c>
      <c r="F6" s="13">
        <f>IF($D$3="","3ヶ月目","3ヶ月目"&amp;CHAR(10)&amp;IFERROR(TEXT(EDATE($D$3,2),"yyyy年m月"),""))</f>
        <v/>
      </c>
      <c r="G6" s="13">
        <f>IF($D$3="","4ヶ月目","4ヶ月目"&amp;CHAR(10)&amp;IFERROR(TEXT(EDATE($D$3,3),"yyyy年m月"),""))</f>
        <v/>
      </c>
      <c r="H6" s="13">
        <f>IF($D$3="","5ヶ月目","5ヶ月目"&amp;CHAR(10)&amp;IFERROR(TEXT(EDATE($D$3,4),"yyyy年m月"),""))</f>
        <v/>
      </c>
      <c r="I6" s="13">
        <f>IF($D$3="","6ヶ月目","6ヶ月目"&amp;CHAR(10)&amp;IFERROR(TEXT(EDATE($D$3,5),"yyyy年m月"),""))</f>
        <v/>
      </c>
      <c r="J6" s="13">
        <f>IF($D$3="","7ヶ月目","7ヶ月目"&amp;CHAR(10)&amp;IFERROR(TEXT(EDATE($D$3,6),"yyyy年m月"),""))</f>
        <v/>
      </c>
      <c r="K6" s="13">
        <f>IF($D$3="","8ヶ月目","8ヶ月目"&amp;CHAR(10)&amp;IFERROR(TEXT(EDATE($D$3,7),"yyyy年m月"),""))</f>
        <v/>
      </c>
      <c r="L6" s="13">
        <f>IF($D$3="","9ヶ月目","9ヶ月目"&amp;CHAR(10)&amp;IFERROR(TEXT(EDATE($D$3,8),"yyyy年m月"),""))</f>
        <v/>
      </c>
      <c r="M6" s="13">
        <f>IF($D$3="","10ヶ月目","10ヶ月目"&amp;CHAR(10)&amp;IFERROR(TEXT(EDATE($D$3,9),"yyyy年m月"),""))</f>
        <v/>
      </c>
      <c r="N6" s="13">
        <f>IF($D$3="","11ヶ月目","11ヶ月目"&amp;CHAR(10)&amp;IFERROR(TEXT(EDATE($D$3,10),"yyyy年m月"),""))</f>
        <v/>
      </c>
      <c r="O6" s="13">
        <f>IF($D$3="","12ヶ月目","12ヶ月目"&amp;CHAR(10)&amp;IFERROR(TEXT(EDATE($D$3,11),"yyyy年m月"),""))</f>
        <v/>
      </c>
      <c r="P6" s="13" t="inlineStr">
        <is>
          <t>年間賞与
(課税分)</t>
        </is>
      </c>
      <c r="Q6" s="13" t="inlineStr">
        <is>
          <t>年間通勤手当
(非課税分)</t>
        </is>
      </c>
      <c r="R6" s="13" t="inlineStr">
        <is>
          <t>年間労働時間
(パート必須)</t>
        </is>
      </c>
      <c r="S6" s="13" t="inlineStr">
        <is>
          <t>判定
(自動)</t>
        </is>
      </c>
      <c r="T6" s="13" t="inlineStr">
        <is>
          <t>課税支給年額
(自動)</t>
        </is>
      </c>
      <c r="U6" s="13" t="inlineStr">
        <is>
          <t>FTE
(自動)</t>
        </is>
      </c>
      <c r="V6" s="13" t="inlineStr">
        <is>
          <t>警告
(自動)</t>
        </is>
      </c>
    </row>
    <row r="7">
      <c r="A7" s="14" t="n">
        <v>1</v>
      </c>
      <c r="B7" s="15" t="n"/>
      <c r="C7" s="16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8">
        <f>IF(B7="","",IF(C7="役員","対象外（役員）",IF(NOT(OR(C7="正社員",C7="契約社員",C7="パート・アルバイト")),"要確認（雇用形態未選択）",IF(NOT(AND(COUNT(D7:O7)=12,COUNTIF(D7:O7,"&gt;0")=12)),"対象外（全月支給なし）",IF(AND(C7="パート・アルバイト",N(R7)&lt;=0),"要確認（労働時間未入力）",IF(SUM(D7:O7)-N(Q7)+N(P7)&lt;=0,"要確認（金額の確認）","集計対象"))))))</f>
        <v/>
      </c>
      <c r="T7" s="19">
        <f>IF(S7="集計対象",SUM(D7:O7)-N(Q7)+N(P7),"")</f>
        <v/>
      </c>
      <c r="U7" s="20">
        <f>IF(S7&lt;&gt;"集計対象",0,IF(OR(C7="正社員",C7="契約社員"),1,N(R7)/$C$48))</f>
        <v/>
      </c>
      <c r="V7" s="21">
        <f>IF(S7="要確認（雇用形態未選択）","⚠雇用形態をプルダウンから選択してください",IF(S7="要確認（労働時間未入力）","⚠パート・アルバイトは年間労働時間の入力が必要です",IF(S7="要確認（金額の確認）","⚠年間通勤手当が支給合計を上回っています。金額をご確認ください",IF(AND(S7="集計対象",C7="パート・アルバイト",N(R7)&gt;2080),"⚠年間労働時間が2080時間を超えています。桁をご確認ください",""))))</f>
        <v/>
      </c>
    </row>
    <row r="8">
      <c r="A8" s="14" t="n">
        <v>2</v>
      </c>
      <c r="B8" s="15" t="n"/>
      <c r="C8" s="16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8">
        <f>IF(B8="","",IF(C8="役員","対象外（役員）",IF(NOT(OR(C8="正社員",C8="契約社員",C8="パート・アルバイト")),"要確認（雇用形態未選択）",IF(NOT(AND(COUNT(D8:O8)=12,COUNTIF(D8:O8,"&gt;0")=12)),"対象外（全月支給なし）",IF(AND(C8="パート・アルバイト",N(R8)&lt;=0),"要確認（労働時間未入力）",IF(SUM(D8:O8)-N(Q8)+N(P8)&lt;=0,"要確認（金額の確認）","集計対象"))))))</f>
        <v/>
      </c>
      <c r="T8" s="19">
        <f>IF(S8="集計対象",SUM(D8:O8)-N(Q8)+N(P8),"")</f>
        <v/>
      </c>
      <c r="U8" s="20">
        <f>IF(S8&lt;&gt;"集計対象",0,IF(OR(C8="正社員",C8="契約社員"),1,N(R8)/$C$48))</f>
        <v/>
      </c>
      <c r="V8" s="21">
        <f>IF(S8="要確認（雇用形態未選択）","⚠雇用形態をプルダウンから選択してください",IF(S8="要確認（労働時間未入力）","⚠パート・アルバイトは年間労働時間の入力が必要です",IF(S8="要確認（金額の確認）","⚠年間通勤手当が支給合計を上回っています。金額をご確認ください",IF(AND(S8="集計対象",C8="パート・アルバイト",N(R8)&gt;2080),"⚠年間労働時間が2080時間を超えています。桁をご確認ください",""))))</f>
        <v/>
      </c>
    </row>
    <row r="9">
      <c r="A9" s="14" t="n">
        <v>3</v>
      </c>
      <c r="B9" s="15" t="n"/>
      <c r="C9" s="16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8">
        <f>IF(B9="","",IF(C9="役員","対象外（役員）",IF(NOT(OR(C9="正社員",C9="契約社員",C9="パート・アルバイト")),"要確認（雇用形態未選択）",IF(NOT(AND(COUNT(D9:O9)=12,COUNTIF(D9:O9,"&gt;0")=12)),"対象外（全月支給なし）",IF(AND(C9="パート・アルバイト",N(R9)&lt;=0),"要確認（労働時間未入力）",IF(SUM(D9:O9)-N(Q9)+N(P9)&lt;=0,"要確認（金額の確認）","集計対象"))))))</f>
        <v/>
      </c>
      <c r="T9" s="19">
        <f>IF(S9="集計対象",SUM(D9:O9)-N(Q9)+N(P9),"")</f>
        <v/>
      </c>
      <c r="U9" s="20">
        <f>IF(S9&lt;&gt;"集計対象",0,IF(OR(C9="正社員",C9="契約社員"),1,N(R9)/$C$48))</f>
        <v/>
      </c>
      <c r="V9" s="21">
        <f>IF(S9="要確認（雇用形態未選択）","⚠雇用形態をプルダウンから選択してください",IF(S9="要確認（労働時間未入力）","⚠パート・アルバイトは年間労働時間の入力が必要です",IF(S9="要確認（金額の確認）","⚠年間通勤手当が支給合計を上回っています。金額をご確認ください",IF(AND(S9="集計対象",C9="パート・アルバイト",N(R9)&gt;2080),"⚠年間労働時間が2080時間を超えています。桁をご確認ください",""))))</f>
        <v/>
      </c>
    </row>
    <row r="10">
      <c r="A10" s="14" t="n">
        <v>4</v>
      </c>
      <c r="B10" s="15" t="n"/>
      <c r="C10" s="16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8">
        <f>IF(B10="","",IF(C10="役員","対象外（役員）",IF(NOT(OR(C10="正社員",C10="契約社員",C10="パート・アルバイト")),"要確認（雇用形態未選択）",IF(NOT(AND(COUNT(D10:O10)=12,COUNTIF(D10:O10,"&gt;0")=12)),"対象外（全月支給なし）",IF(AND(C10="パート・アルバイト",N(R10)&lt;=0),"要確認（労働時間未入力）",IF(SUM(D10:O10)-N(Q10)+N(P10)&lt;=0,"要確認（金額の確認）","集計対象"))))))</f>
        <v/>
      </c>
      <c r="T10" s="19">
        <f>IF(S10="集計対象",SUM(D10:O10)-N(Q10)+N(P10),"")</f>
        <v/>
      </c>
      <c r="U10" s="20">
        <f>IF(S10&lt;&gt;"集計対象",0,IF(OR(C10="正社員",C10="契約社員"),1,N(R10)/$C$48))</f>
        <v/>
      </c>
      <c r="V10" s="21">
        <f>IF(S10="要確認（雇用形態未選択）","⚠雇用形態をプルダウンから選択してください",IF(S10="要確認（労働時間未入力）","⚠パート・アルバイトは年間労働時間の入力が必要です",IF(S10="要確認（金額の確認）","⚠年間通勤手当が支給合計を上回っています。金額をご確認ください",IF(AND(S10="集計対象",C10="パート・アルバイト",N(R10)&gt;2080),"⚠年間労働時間が2080時間を超えています。桁をご確認ください",""))))</f>
        <v/>
      </c>
    </row>
    <row r="11">
      <c r="A11" s="14" t="n">
        <v>5</v>
      </c>
      <c r="B11" s="15" t="n"/>
      <c r="C11" s="16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8">
        <f>IF(B11="","",IF(C11="役員","対象外（役員）",IF(NOT(OR(C11="正社員",C11="契約社員",C11="パート・アルバイト")),"要確認（雇用形態未選択）",IF(NOT(AND(COUNT(D11:O11)=12,COUNTIF(D11:O11,"&gt;0")=12)),"対象外（全月支給なし）",IF(AND(C11="パート・アルバイト",N(R11)&lt;=0),"要確認（労働時間未入力）",IF(SUM(D11:O11)-N(Q11)+N(P11)&lt;=0,"要確認（金額の確認）","集計対象"))))))</f>
        <v/>
      </c>
      <c r="T11" s="19">
        <f>IF(S11="集計対象",SUM(D11:O11)-N(Q11)+N(P11),"")</f>
        <v/>
      </c>
      <c r="U11" s="20">
        <f>IF(S11&lt;&gt;"集計対象",0,IF(OR(C11="正社員",C11="契約社員"),1,N(R11)/$C$48))</f>
        <v/>
      </c>
      <c r="V11" s="21">
        <f>IF(S11="要確認（雇用形態未選択）","⚠雇用形態をプルダウンから選択してください",IF(S11="要確認（労働時間未入力）","⚠パート・アルバイトは年間労働時間の入力が必要です",IF(S11="要確認（金額の確認）","⚠年間通勤手当が支給合計を上回っています。金額をご確認ください",IF(AND(S11="集計対象",C11="パート・アルバイト",N(R11)&gt;2080),"⚠年間労働時間が2080時間を超えています。桁をご確認ください",""))))</f>
        <v/>
      </c>
    </row>
    <row r="12">
      <c r="A12" s="14" t="n">
        <v>6</v>
      </c>
      <c r="B12" s="15" t="n"/>
      <c r="C12" s="16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8">
        <f>IF(B12="","",IF(C12="役員","対象外（役員）",IF(NOT(OR(C12="正社員",C12="契約社員",C12="パート・アルバイト")),"要確認（雇用形態未選択）",IF(NOT(AND(COUNT(D12:O12)=12,COUNTIF(D12:O12,"&gt;0")=12)),"対象外（全月支給なし）",IF(AND(C12="パート・アルバイト",N(R12)&lt;=0),"要確認（労働時間未入力）",IF(SUM(D12:O12)-N(Q12)+N(P12)&lt;=0,"要確認（金額の確認）","集計対象"))))))</f>
        <v/>
      </c>
      <c r="T12" s="19">
        <f>IF(S12="集計対象",SUM(D12:O12)-N(Q12)+N(P12),"")</f>
        <v/>
      </c>
      <c r="U12" s="20">
        <f>IF(S12&lt;&gt;"集計対象",0,IF(OR(C12="正社員",C12="契約社員"),1,N(R12)/$C$48))</f>
        <v/>
      </c>
      <c r="V12" s="21">
        <f>IF(S12="要確認（雇用形態未選択）","⚠雇用形態をプルダウンから選択してください",IF(S12="要確認（労働時間未入力）","⚠パート・アルバイトは年間労働時間の入力が必要です",IF(S12="要確認（金額の確認）","⚠年間通勤手当が支給合計を上回っています。金額をご確認ください",IF(AND(S12="集計対象",C12="パート・アルバイト",N(R12)&gt;2080),"⚠年間労働時間が2080時間を超えています。桁をご確認ください",""))))</f>
        <v/>
      </c>
    </row>
    <row r="13">
      <c r="A13" s="14" t="n">
        <v>7</v>
      </c>
      <c r="B13" s="15" t="n"/>
      <c r="C13" s="16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8">
        <f>IF(B13="","",IF(C13="役員","対象外（役員）",IF(NOT(OR(C13="正社員",C13="契約社員",C13="パート・アルバイト")),"要確認（雇用形態未選択）",IF(NOT(AND(COUNT(D13:O13)=12,COUNTIF(D13:O13,"&gt;0")=12)),"対象外（全月支給なし）",IF(AND(C13="パート・アルバイト",N(R13)&lt;=0),"要確認（労働時間未入力）",IF(SUM(D13:O13)-N(Q13)+N(P13)&lt;=0,"要確認（金額の確認）","集計対象"))))))</f>
        <v/>
      </c>
      <c r="T13" s="19">
        <f>IF(S13="集計対象",SUM(D13:O13)-N(Q13)+N(P13),"")</f>
        <v/>
      </c>
      <c r="U13" s="20">
        <f>IF(S13&lt;&gt;"集計対象",0,IF(OR(C13="正社員",C13="契約社員"),1,N(R13)/$C$48))</f>
        <v/>
      </c>
      <c r="V13" s="21">
        <f>IF(S13="要確認（雇用形態未選択）","⚠雇用形態をプルダウンから選択してください",IF(S13="要確認（労働時間未入力）","⚠パート・アルバイトは年間労働時間の入力が必要です",IF(S13="要確認（金額の確認）","⚠年間通勤手当が支給合計を上回っています。金額をご確認ください",IF(AND(S13="集計対象",C13="パート・アルバイト",N(R13)&gt;2080),"⚠年間労働時間が2080時間を超えています。桁をご確認ください",""))))</f>
        <v/>
      </c>
    </row>
    <row r="14">
      <c r="A14" s="14" t="n">
        <v>8</v>
      </c>
      <c r="B14" s="15" t="n"/>
      <c r="C14" s="16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8">
        <f>IF(B14="","",IF(C14="役員","対象外（役員）",IF(NOT(OR(C14="正社員",C14="契約社員",C14="パート・アルバイト")),"要確認（雇用形態未選択）",IF(NOT(AND(COUNT(D14:O14)=12,COUNTIF(D14:O14,"&gt;0")=12)),"対象外（全月支給なし）",IF(AND(C14="パート・アルバイト",N(R14)&lt;=0),"要確認（労働時間未入力）",IF(SUM(D14:O14)-N(Q14)+N(P14)&lt;=0,"要確認（金額の確認）","集計対象"))))))</f>
        <v/>
      </c>
      <c r="T14" s="19">
        <f>IF(S14="集計対象",SUM(D14:O14)-N(Q14)+N(P14),"")</f>
        <v/>
      </c>
      <c r="U14" s="20">
        <f>IF(S14&lt;&gt;"集計対象",0,IF(OR(C14="正社員",C14="契約社員"),1,N(R14)/$C$48))</f>
        <v/>
      </c>
      <c r="V14" s="21">
        <f>IF(S14="要確認（雇用形態未選択）","⚠雇用形態をプルダウンから選択してください",IF(S14="要確認（労働時間未入力）","⚠パート・アルバイトは年間労働時間の入力が必要です",IF(S14="要確認（金額の確認）","⚠年間通勤手当が支給合計を上回っています。金額をご確認ください",IF(AND(S14="集計対象",C14="パート・アルバイト",N(R14)&gt;2080),"⚠年間労働時間が2080時間を超えています。桁をご確認ください",""))))</f>
        <v/>
      </c>
    </row>
    <row r="15">
      <c r="A15" s="14" t="n">
        <v>9</v>
      </c>
      <c r="B15" s="15" t="n"/>
      <c r="C15" s="16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8">
        <f>IF(B15="","",IF(C15="役員","対象外（役員）",IF(NOT(OR(C15="正社員",C15="契約社員",C15="パート・アルバイト")),"要確認（雇用形態未選択）",IF(NOT(AND(COUNT(D15:O15)=12,COUNTIF(D15:O15,"&gt;0")=12)),"対象外（全月支給なし）",IF(AND(C15="パート・アルバイト",N(R15)&lt;=0),"要確認（労働時間未入力）",IF(SUM(D15:O15)-N(Q15)+N(P15)&lt;=0,"要確認（金額の確認）","集計対象"))))))</f>
        <v/>
      </c>
      <c r="T15" s="19">
        <f>IF(S15="集計対象",SUM(D15:O15)-N(Q15)+N(P15),"")</f>
        <v/>
      </c>
      <c r="U15" s="20">
        <f>IF(S15&lt;&gt;"集計対象",0,IF(OR(C15="正社員",C15="契約社員"),1,N(R15)/$C$48))</f>
        <v/>
      </c>
      <c r="V15" s="21">
        <f>IF(S15="要確認（雇用形態未選択）","⚠雇用形態をプルダウンから選択してください",IF(S15="要確認（労働時間未入力）","⚠パート・アルバイトは年間労働時間の入力が必要です",IF(S15="要確認（金額の確認）","⚠年間通勤手当が支給合計を上回っています。金額をご確認ください",IF(AND(S15="集計対象",C15="パート・アルバイト",N(R15)&gt;2080),"⚠年間労働時間が2080時間を超えています。桁をご確認ください",""))))</f>
        <v/>
      </c>
    </row>
    <row r="16">
      <c r="A16" s="14" t="n">
        <v>10</v>
      </c>
      <c r="B16" s="15" t="n"/>
      <c r="C16" s="16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8">
        <f>IF(B16="","",IF(C16="役員","対象外（役員）",IF(NOT(OR(C16="正社員",C16="契約社員",C16="パート・アルバイト")),"要確認（雇用形態未選択）",IF(NOT(AND(COUNT(D16:O16)=12,COUNTIF(D16:O16,"&gt;0")=12)),"対象外（全月支給なし）",IF(AND(C16="パート・アルバイト",N(R16)&lt;=0),"要確認（労働時間未入力）",IF(SUM(D16:O16)-N(Q16)+N(P16)&lt;=0,"要確認（金額の確認）","集計対象"))))))</f>
        <v/>
      </c>
      <c r="T16" s="19">
        <f>IF(S16="集計対象",SUM(D16:O16)-N(Q16)+N(P16),"")</f>
        <v/>
      </c>
      <c r="U16" s="20">
        <f>IF(S16&lt;&gt;"集計対象",0,IF(OR(C16="正社員",C16="契約社員"),1,N(R16)/$C$48))</f>
        <v/>
      </c>
      <c r="V16" s="21">
        <f>IF(S16="要確認（雇用形態未選択）","⚠雇用形態をプルダウンから選択してください",IF(S16="要確認（労働時間未入力）","⚠パート・アルバイトは年間労働時間の入力が必要です",IF(S16="要確認（金額の確認）","⚠年間通勤手当が支給合計を上回っています。金額をご確認ください",IF(AND(S16="集計対象",C16="パート・アルバイト",N(R16)&gt;2080),"⚠年間労働時間が2080時間を超えています。桁をご確認ください",""))))</f>
        <v/>
      </c>
    </row>
    <row r="17">
      <c r="A17" s="14" t="n">
        <v>11</v>
      </c>
      <c r="B17" s="15" t="n"/>
      <c r="C17" s="16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8">
        <f>IF(B17="","",IF(C17="役員","対象外（役員）",IF(NOT(OR(C17="正社員",C17="契約社員",C17="パート・アルバイト")),"要確認（雇用形態未選択）",IF(NOT(AND(COUNT(D17:O17)=12,COUNTIF(D17:O17,"&gt;0")=12)),"対象外（全月支給なし）",IF(AND(C17="パート・アルバイト",N(R17)&lt;=0),"要確認（労働時間未入力）",IF(SUM(D17:O17)-N(Q17)+N(P17)&lt;=0,"要確認（金額の確認）","集計対象"))))))</f>
        <v/>
      </c>
      <c r="T17" s="19">
        <f>IF(S17="集計対象",SUM(D17:O17)-N(Q17)+N(P17),"")</f>
        <v/>
      </c>
      <c r="U17" s="20">
        <f>IF(S17&lt;&gt;"集計対象",0,IF(OR(C17="正社員",C17="契約社員"),1,N(R17)/$C$48))</f>
        <v/>
      </c>
      <c r="V17" s="21">
        <f>IF(S17="要確認（雇用形態未選択）","⚠雇用形態をプルダウンから選択してください",IF(S17="要確認（労働時間未入力）","⚠パート・アルバイトは年間労働時間の入力が必要です",IF(S17="要確認（金額の確認）","⚠年間通勤手当が支給合計を上回っています。金額をご確認ください",IF(AND(S17="集計対象",C17="パート・アルバイト",N(R17)&gt;2080),"⚠年間労働時間が2080時間を超えています。桁をご確認ください",""))))</f>
        <v/>
      </c>
    </row>
    <row r="18">
      <c r="A18" s="14" t="n">
        <v>12</v>
      </c>
      <c r="B18" s="15" t="n"/>
      <c r="C18" s="16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8">
        <f>IF(B18="","",IF(C18="役員","対象外（役員）",IF(NOT(OR(C18="正社員",C18="契約社員",C18="パート・アルバイト")),"要確認（雇用形態未選択）",IF(NOT(AND(COUNT(D18:O18)=12,COUNTIF(D18:O18,"&gt;0")=12)),"対象外（全月支給なし）",IF(AND(C18="パート・アルバイト",N(R18)&lt;=0),"要確認（労働時間未入力）",IF(SUM(D18:O18)-N(Q18)+N(P18)&lt;=0,"要確認（金額の確認）","集計対象"))))))</f>
        <v/>
      </c>
      <c r="T18" s="19">
        <f>IF(S18="集計対象",SUM(D18:O18)-N(Q18)+N(P18),"")</f>
        <v/>
      </c>
      <c r="U18" s="20">
        <f>IF(S18&lt;&gt;"集計対象",0,IF(OR(C18="正社員",C18="契約社員"),1,N(R18)/$C$48))</f>
        <v/>
      </c>
      <c r="V18" s="21">
        <f>IF(S18="要確認（雇用形態未選択）","⚠雇用形態をプルダウンから選択してください",IF(S18="要確認（労働時間未入力）","⚠パート・アルバイトは年間労働時間の入力が必要です",IF(S18="要確認（金額の確認）","⚠年間通勤手当が支給合計を上回っています。金額をご確認ください",IF(AND(S18="集計対象",C18="パート・アルバイト",N(R18)&gt;2080),"⚠年間労働時間が2080時間を超えています。桁をご確認ください",""))))</f>
        <v/>
      </c>
    </row>
    <row r="19">
      <c r="A19" s="14" t="n">
        <v>13</v>
      </c>
      <c r="B19" s="15" t="n"/>
      <c r="C19" s="16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8">
        <f>IF(B19="","",IF(C19="役員","対象外（役員）",IF(NOT(OR(C19="正社員",C19="契約社員",C19="パート・アルバイト")),"要確認（雇用形態未選択）",IF(NOT(AND(COUNT(D19:O19)=12,COUNTIF(D19:O19,"&gt;0")=12)),"対象外（全月支給なし）",IF(AND(C19="パート・アルバイト",N(R19)&lt;=0),"要確認（労働時間未入力）",IF(SUM(D19:O19)-N(Q19)+N(P19)&lt;=0,"要確認（金額の確認）","集計対象"))))))</f>
        <v/>
      </c>
      <c r="T19" s="19">
        <f>IF(S19="集計対象",SUM(D19:O19)-N(Q19)+N(P19),"")</f>
        <v/>
      </c>
      <c r="U19" s="20">
        <f>IF(S19&lt;&gt;"集計対象",0,IF(OR(C19="正社員",C19="契約社員"),1,N(R19)/$C$48))</f>
        <v/>
      </c>
      <c r="V19" s="21">
        <f>IF(S19="要確認（雇用形態未選択）","⚠雇用形態をプルダウンから選択してください",IF(S19="要確認（労働時間未入力）","⚠パート・アルバイトは年間労働時間の入力が必要です",IF(S19="要確認（金額の確認）","⚠年間通勤手当が支給合計を上回っています。金額をご確認ください",IF(AND(S19="集計対象",C19="パート・アルバイト",N(R19)&gt;2080),"⚠年間労働時間が2080時間を超えています。桁をご確認ください",""))))</f>
        <v/>
      </c>
    </row>
    <row r="20">
      <c r="A20" s="14" t="n">
        <v>14</v>
      </c>
      <c r="B20" s="15" t="n"/>
      <c r="C20" s="16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8">
        <f>IF(B20="","",IF(C20="役員","対象外（役員）",IF(NOT(OR(C20="正社員",C20="契約社員",C20="パート・アルバイト")),"要確認（雇用形態未選択）",IF(NOT(AND(COUNT(D20:O20)=12,COUNTIF(D20:O20,"&gt;0")=12)),"対象外（全月支給なし）",IF(AND(C20="パート・アルバイト",N(R20)&lt;=0),"要確認（労働時間未入力）",IF(SUM(D20:O20)-N(Q20)+N(P20)&lt;=0,"要確認（金額の確認）","集計対象"))))))</f>
        <v/>
      </c>
      <c r="T20" s="19">
        <f>IF(S20="集計対象",SUM(D20:O20)-N(Q20)+N(P20),"")</f>
        <v/>
      </c>
      <c r="U20" s="20">
        <f>IF(S20&lt;&gt;"集計対象",0,IF(OR(C20="正社員",C20="契約社員"),1,N(R20)/$C$48))</f>
        <v/>
      </c>
      <c r="V20" s="21">
        <f>IF(S20="要確認（雇用形態未選択）","⚠雇用形態をプルダウンから選択してください",IF(S20="要確認（労働時間未入力）","⚠パート・アルバイトは年間労働時間の入力が必要です",IF(S20="要確認（金額の確認）","⚠年間通勤手当が支給合計を上回っています。金額をご確認ください",IF(AND(S20="集計対象",C20="パート・アルバイト",N(R20)&gt;2080),"⚠年間労働時間が2080時間を超えています。桁をご確認ください",""))))</f>
        <v/>
      </c>
    </row>
    <row r="21">
      <c r="A21" s="14" t="n">
        <v>15</v>
      </c>
      <c r="B21" s="15" t="n"/>
      <c r="C21" s="16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8">
        <f>IF(B21="","",IF(C21="役員","対象外（役員）",IF(NOT(OR(C21="正社員",C21="契約社員",C21="パート・アルバイト")),"要確認（雇用形態未選択）",IF(NOT(AND(COUNT(D21:O21)=12,COUNTIF(D21:O21,"&gt;0")=12)),"対象外（全月支給なし）",IF(AND(C21="パート・アルバイト",N(R21)&lt;=0),"要確認（労働時間未入力）",IF(SUM(D21:O21)-N(Q21)+N(P21)&lt;=0,"要確認（金額の確認）","集計対象"))))))</f>
        <v/>
      </c>
      <c r="T21" s="19">
        <f>IF(S21="集計対象",SUM(D21:O21)-N(Q21)+N(P21),"")</f>
        <v/>
      </c>
      <c r="U21" s="20">
        <f>IF(S21&lt;&gt;"集計対象",0,IF(OR(C21="正社員",C21="契約社員"),1,N(R21)/$C$48))</f>
        <v/>
      </c>
      <c r="V21" s="21">
        <f>IF(S21="要確認（雇用形態未選択）","⚠雇用形態をプルダウンから選択してください",IF(S21="要確認（労働時間未入力）","⚠パート・アルバイトは年間労働時間の入力が必要です",IF(S21="要確認（金額の確認）","⚠年間通勤手当が支給合計を上回っています。金額をご確認ください",IF(AND(S21="集計対象",C21="パート・アルバイト",N(R21)&gt;2080),"⚠年間労働時間が2080時間を超えています。桁をご確認ください",""))))</f>
        <v/>
      </c>
    </row>
    <row r="22">
      <c r="A22" s="14" t="n">
        <v>16</v>
      </c>
      <c r="B22" s="15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8">
        <f>IF(B22="","",IF(C22="役員","対象外（役員）",IF(NOT(OR(C22="正社員",C22="契約社員",C22="パート・アルバイト")),"要確認（雇用形態未選択）",IF(NOT(AND(COUNT(D22:O22)=12,COUNTIF(D22:O22,"&gt;0")=12)),"対象外（全月支給なし）",IF(AND(C22="パート・アルバイト",N(R22)&lt;=0),"要確認（労働時間未入力）",IF(SUM(D22:O22)-N(Q22)+N(P22)&lt;=0,"要確認（金額の確認）","集計対象"))))))</f>
        <v/>
      </c>
      <c r="T22" s="19">
        <f>IF(S22="集計対象",SUM(D22:O22)-N(Q22)+N(P22),"")</f>
        <v/>
      </c>
      <c r="U22" s="20">
        <f>IF(S22&lt;&gt;"集計対象",0,IF(OR(C22="正社員",C22="契約社員"),1,N(R22)/$C$48))</f>
        <v/>
      </c>
      <c r="V22" s="21">
        <f>IF(S22="要確認（雇用形態未選択）","⚠雇用形態をプルダウンから選択してください",IF(S22="要確認（労働時間未入力）","⚠パート・アルバイトは年間労働時間の入力が必要です",IF(S22="要確認（金額の確認）","⚠年間通勤手当が支給合計を上回っています。金額をご確認ください",IF(AND(S22="集計対象",C22="パート・アルバイト",N(R22)&gt;2080),"⚠年間労働時間が2080時間を超えています。桁をご確認ください",""))))</f>
        <v/>
      </c>
    </row>
    <row r="23">
      <c r="A23" s="14" t="n">
        <v>17</v>
      </c>
      <c r="B23" s="15" t="n"/>
      <c r="C23" s="16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8">
        <f>IF(B23="","",IF(C23="役員","対象外（役員）",IF(NOT(OR(C23="正社員",C23="契約社員",C23="パート・アルバイト")),"要確認（雇用形態未選択）",IF(NOT(AND(COUNT(D23:O23)=12,COUNTIF(D23:O23,"&gt;0")=12)),"対象外（全月支給なし）",IF(AND(C23="パート・アルバイト",N(R23)&lt;=0),"要確認（労働時間未入力）",IF(SUM(D23:O23)-N(Q23)+N(P23)&lt;=0,"要確認（金額の確認）","集計対象"))))))</f>
        <v/>
      </c>
      <c r="T23" s="19">
        <f>IF(S23="集計対象",SUM(D23:O23)-N(Q23)+N(P23),"")</f>
        <v/>
      </c>
      <c r="U23" s="20">
        <f>IF(S23&lt;&gt;"集計対象",0,IF(OR(C23="正社員",C23="契約社員"),1,N(R23)/$C$48))</f>
        <v/>
      </c>
      <c r="V23" s="21">
        <f>IF(S23="要確認（雇用形態未選択）","⚠雇用形態をプルダウンから選択してください",IF(S23="要確認（労働時間未入力）","⚠パート・アルバイトは年間労働時間の入力が必要です",IF(S23="要確認（金額の確認）","⚠年間通勤手当が支給合計を上回っています。金額をご確認ください",IF(AND(S23="集計対象",C23="パート・アルバイト",N(R23)&gt;2080),"⚠年間労働時間が2080時間を超えています。桁をご確認ください",""))))</f>
        <v/>
      </c>
    </row>
    <row r="24">
      <c r="A24" s="14" t="n">
        <v>18</v>
      </c>
      <c r="B24" s="15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8">
        <f>IF(B24="","",IF(C24="役員","対象外（役員）",IF(NOT(OR(C24="正社員",C24="契約社員",C24="パート・アルバイト")),"要確認（雇用形態未選択）",IF(NOT(AND(COUNT(D24:O24)=12,COUNTIF(D24:O24,"&gt;0")=12)),"対象外（全月支給なし）",IF(AND(C24="パート・アルバイト",N(R24)&lt;=0),"要確認（労働時間未入力）",IF(SUM(D24:O24)-N(Q24)+N(P24)&lt;=0,"要確認（金額の確認）","集計対象"))))))</f>
        <v/>
      </c>
      <c r="T24" s="19">
        <f>IF(S24="集計対象",SUM(D24:O24)-N(Q24)+N(P24),"")</f>
        <v/>
      </c>
      <c r="U24" s="20">
        <f>IF(S24&lt;&gt;"集計対象",0,IF(OR(C24="正社員",C24="契約社員"),1,N(R24)/$C$48))</f>
        <v/>
      </c>
      <c r="V24" s="21">
        <f>IF(S24="要確認（雇用形態未選択）","⚠雇用形態をプルダウンから選択してください",IF(S24="要確認（労働時間未入力）","⚠パート・アルバイトは年間労働時間の入力が必要です",IF(S24="要確認（金額の確認）","⚠年間通勤手当が支給合計を上回っています。金額をご確認ください",IF(AND(S24="集計対象",C24="パート・アルバイト",N(R24)&gt;2080),"⚠年間労働時間が2080時間を超えています。桁をご確認ください",""))))</f>
        <v/>
      </c>
    </row>
    <row r="25">
      <c r="A25" s="14" t="n">
        <v>19</v>
      </c>
      <c r="B25" s="15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8">
        <f>IF(B25="","",IF(C25="役員","対象外（役員）",IF(NOT(OR(C25="正社員",C25="契約社員",C25="パート・アルバイト")),"要確認（雇用形態未選択）",IF(NOT(AND(COUNT(D25:O25)=12,COUNTIF(D25:O25,"&gt;0")=12)),"対象外（全月支給なし）",IF(AND(C25="パート・アルバイト",N(R25)&lt;=0),"要確認（労働時間未入力）",IF(SUM(D25:O25)-N(Q25)+N(P25)&lt;=0,"要確認（金額の確認）","集計対象"))))))</f>
        <v/>
      </c>
      <c r="T25" s="19">
        <f>IF(S25="集計対象",SUM(D25:O25)-N(Q25)+N(P25),"")</f>
        <v/>
      </c>
      <c r="U25" s="20">
        <f>IF(S25&lt;&gt;"集計対象",0,IF(OR(C25="正社員",C25="契約社員"),1,N(R25)/$C$48))</f>
        <v/>
      </c>
      <c r="V25" s="21">
        <f>IF(S25="要確認（雇用形態未選択）","⚠雇用形態をプルダウンから選択してください",IF(S25="要確認（労働時間未入力）","⚠パート・アルバイトは年間労働時間の入力が必要です",IF(S25="要確認（金額の確認）","⚠年間通勤手当が支給合計を上回っています。金額をご確認ください",IF(AND(S25="集計対象",C25="パート・アルバイト",N(R25)&gt;2080),"⚠年間労働時間が2080時間を超えています。桁をご確認ください",""))))</f>
        <v/>
      </c>
    </row>
    <row r="26">
      <c r="A26" s="14" t="n">
        <v>20</v>
      </c>
      <c r="B26" s="15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8">
        <f>IF(B26="","",IF(C26="役員","対象外（役員）",IF(NOT(OR(C26="正社員",C26="契約社員",C26="パート・アルバイト")),"要確認（雇用形態未選択）",IF(NOT(AND(COUNT(D26:O26)=12,COUNTIF(D26:O26,"&gt;0")=12)),"対象外（全月支給なし）",IF(AND(C26="パート・アルバイト",N(R26)&lt;=0),"要確認（労働時間未入力）",IF(SUM(D26:O26)-N(Q26)+N(P26)&lt;=0,"要確認（金額の確認）","集計対象"))))))</f>
        <v/>
      </c>
      <c r="T26" s="19">
        <f>IF(S26="集計対象",SUM(D26:O26)-N(Q26)+N(P26),"")</f>
        <v/>
      </c>
      <c r="U26" s="20">
        <f>IF(S26&lt;&gt;"集計対象",0,IF(OR(C26="正社員",C26="契約社員"),1,N(R26)/$C$48))</f>
        <v/>
      </c>
      <c r="V26" s="21">
        <f>IF(S26="要確認（雇用形態未選択）","⚠雇用形態をプルダウンから選択してください",IF(S26="要確認（労働時間未入力）","⚠パート・アルバイトは年間労働時間の入力が必要です",IF(S26="要確認（金額の確認）","⚠年間通勤手当が支給合計を上回っています。金額をご確認ください",IF(AND(S26="集計対象",C26="パート・アルバイト",N(R26)&gt;2080),"⚠年間労働時間が2080時間を超えています。桁をご確認ください",""))))</f>
        <v/>
      </c>
    </row>
    <row r="27">
      <c r="A27" s="14" t="n">
        <v>21</v>
      </c>
      <c r="B27" s="15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8">
        <f>IF(B27="","",IF(C27="役員","対象外（役員）",IF(NOT(OR(C27="正社員",C27="契約社員",C27="パート・アルバイト")),"要確認（雇用形態未選択）",IF(NOT(AND(COUNT(D27:O27)=12,COUNTIF(D27:O27,"&gt;0")=12)),"対象外（全月支給なし）",IF(AND(C27="パート・アルバイト",N(R27)&lt;=0),"要確認（労働時間未入力）",IF(SUM(D27:O27)-N(Q27)+N(P27)&lt;=0,"要確認（金額の確認）","集計対象"))))))</f>
        <v/>
      </c>
      <c r="T27" s="19">
        <f>IF(S27="集計対象",SUM(D27:O27)-N(Q27)+N(P27),"")</f>
        <v/>
      </c>
      <c r="U27" s="20">
        <f>IF(S27&lt;&gt;"集計対象",0,IF(OR(C27="正社員",C27="契約社員"),1,N(R27)/$C$48))</f>
        <v/>
      </c>
      <c r="V27" s="21">
        <f>IF(S27="要確認（雇用形態未選択）","⚠雇用形態をプルダウンから選択してください",IF(S27="要確認（労働時間未入力）","⚠パート・アルバイトは年間労働時間の入力が必要です",IF(S27="要確認（金額の確認）","⚠年間通勤手当が支給合計を上回っています。金額をご確認ください",IF(AND(S27="集計対象",C27="パート・アルバイト",N(R27)&gt;2080),"⚠年間労働時間が2080時間を超えています。桁をご確認ください",""))))</f>
        <v/>
      </c>
    </row>
    <row r="28">
      <c r="A28" s="14" t="n">
        <v>22</v>
      </c>
      <c r="B28" s="15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8">
        <f>IF(B28="","",IF(C28="役員","対象外（役員）",IF(NOT(OR(C28="正社員",C28="契約社員",C28="パート・アルバイト")),"要確認（雇用形態未選択）",IF(NOT(AND(COUNT(D28:O28)=12,COUNTIF(D28:O28,"&gt;0")=12)),"対象外（全月支給なし）",IF(AND(C28="パート・アルバイト",N(R28)&lt;=0),"要確認（労働時間未入力）",IF(SUM(D28:O28)-N(Q28)+N(P28)&lt;=0,"要確認（金額の確認）","集計対象"))))))</f>
        <v/>
      </c>
      <c r="T28" s="19">
        <f>IF(S28="集計対象",SUM(D28:O28)-N(Q28)+N(P28),"")</f>
        <v/>
      </c>
      <c r="U28" s="20">
        <f>IF(S28&lt;&gt;"集計対象",0,IF(OR(C28="正社員",C28="契約社員"),1,N(R28)/$C$48))</f>
        <v/>
      </c>
      <c r="V28" s="21">
        <f>IF(S28="要確認（雇用形態未選択）","⚠雇用形態をプルダウンから選択してください",IF(S28="要確認（労働時間未入力）","⚠パート・アルバイトは年間労働時間の入力が必要です",IF(S28="要確認（金額の確認）","⚠年間通勤手当が支給合計を上回っています。金額をご確認ください",IF(AND(S28="集計対象",C28="パート・アルバイト",N(R28)&gt;2080),"⚠年間労働時間が2080時間を超えています。桁をご確認ください",""))))</f>
        <v/>
      </c>
    </row>
    <row r="29">
      <c r="A29" s="14" t="n">
        <v>23</v>
      </c>
      <c r="B29" s="15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8">
        <f>IF(B29="","",IF(C29="役員","対象外（役員）",IF(NOT(OR(C29="正社員",C29="契約社員",C29="パート・アルバイト")),"要確認（雇用形態未選択）",IF(NOT(AND(COUNT(D29:O29)=12,COUNTIF(D29:O29,"&gt;0")=12)),"対象外（全月支給なし）",IF(AND(C29="パート・アルバイト",N(R29)&lt;=0),"要確認（労働時間未入力）",IF(SUM(D29:O29)-N(Q29)+N(P29)&lt;=0,"要確認（金額の確認）","集計対象"))))))</f>
        <v/>
      </c>
      <c r="T29" s="19">
        <f>IF(S29="集計対象",SUM(D29:O29)-N(Q29)+N(P29),"")</f>
        <v/>
      </c>
      <c r="U29" s="20">
        <f>IF(S29&lt;&gt;"集計対象",0,IF(OR(C29="正社員",C29="契約社員"),1,N(R29)/$C$48))</f>
        <v/>
      </c>
      <c r="V29" s="21">
        <f>IF(S29="要確認（雇用形態未選択）","⚠雇用形態をプルダウンから選択してください",IF(S29="要確認（労働時間未入力）","⚠パート・アルバイトは年間労働時間の入力が必要です",IF(S29="要確認（金額の確認）","⚠年間通勤手当が支給合計を上回っています。金額をご確認ください",IF(AND(S29="集計対象",C29="パート・アルバイト",N(R29)&gt;2080),"⚠年間労働時間が2080時間を超えています。桁をご確認ください",""))))</f>
        <v/>
      </c>
    </row>
    <row r="30">
      <c r="A30" s="14" t="n">
        <v>24</v>
      </c>
      <c r="B30" s="15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8">
        <f>IF(B30="","",IF(C30="役員","対象外（役員）",IF(NOT(OR(C30="正社員",C30="契約社員",C30="パート・アルバイト")),"要確認（雇用形態未選択）",IF(NOT(AND(COUNT(D30:O30)=12,COUNTIF(D30:O30,"&gt;0")=12)),"対象外（全月支給なし）",IF(AND(C30="パート・アルバイト",N(R30)&lt;=0),"要確認（労働時間未入力）",IF(SUM(D30:O30)-N(Q30)+N(P30)&lt;=0,"要確認（金額の確認）","集計対象"))))))</f>
        <v/>
      </c>
      <c r="T30" s="19">
        <f>IF(S30="集計対象",SUM(D30:O30)-N(Q30)+N(P30),"")</f>
        <v/>
      </c>
      <c r="U30" s="20">
        <f>IF(S30&lt;&gt;"集計対象",0,IF(OR(C30="正社員",C30="契約社員"),1,N(R30)/$C$48))</f>
        <v/>
      </c>
      <c r="V30" s="21">
        <f>IF(S30="要確認（雇用形態未選択）","⚠雇用形態をプルダウンから選択してください",IF(S30="要確認（労働時間未入力）","⚠パート・アルバイトは年間労働時間の入力が必要です",IF(S30="要確認（金額の確認）","⚠年間通勤手当が支給合計を上回っています。金額をご確認ください",IF(AND(S30="集計対象",C30="パート・アルバイト",N(R30)&gt;2080),"⚠年間労働時間が2080時間を超えています。桁をご確認ください",""))))</f>
        <v/>
      </c>
    </row>
    <row r="31">
      <c r="A31" s="14" t="n">
        <v>25</v>
      </c>
      <c r="B31" s="15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8">
        <f>IF(B31="","",IF(C31="役員","対象外（役員）",IF(NOT(OR(C31="正社員",C31="契約社員",C31="パート・アルバイト")),"要確認（雇用形態未選択）",IF(NOT(AND(COUNT(D31:O31)=12,COUNTIF(D31:O31,"&gt;0")=12)),"対象外（全月支給なし）",IF(AND(C31="パート・アルバイト",N(R31)&lt;=0),"要確認（労働時間未入力）",IF(SUM(D31:O31)-N(Q31)+N(P31)&lt;=0,"要確認（金額の確認）","集計対象"))))))</f>
        <v/>
      </c>
      <c r="T31" s="19">
        <f>IF(S31="集計対象",SUM(D31:O31)-N(Q31)+N(P31),"")</f>
        <v/>
      </c>
      <c r="U31" s="20">
        <f>IF(S31&lt;&gt;"集計対象",0,IF(OR(C31="正社員",C31="契約社員"),1,N(R31)/$C$48))</f>
        <v/>
      </c>
      <c r="V31" s="21">
        <f>IF(S31="要確認（雇用形態未選択）","⚠雇用形態をプルダウンから選択してください",IF(S31="要確認（労働時間未入力）","⚠パート・アルバイトは年間労働時間の入力が必要です",IF(S31="要確認（金額の確認）","⚠年間通勤手当が支給合計を上回っています。金額をご確認ください",IF(AND(S31="集計対象",C31="パート・アルバイト",N(R31)&gt;2080),"⚠年間労働時間が2080時間を超えています。桁をご確認ください",""))))</f>
        <v/>
      </c>
    </row>
    <row r="32">
      <c r="A32" s="14" t="n">
        <v>26</v>
      </c>
      <c r="B32" s="15" t="n"/>
      <c r="C32" s="16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8">
        <f>IF(B32="","",IF(C32="役員","対象外（役員）",IF(NOT(OR(C32="正社員",C32="契約社員",C32="パート・アルバイト")),"要確認（雇用形態未選択）",IF(NOT(AND(COUNT(D32:O32)=12,COUNTIF(D32:O32,"&gt;0")=12)),"対象外（全月支給なし）",IF(AND(C32="パート・アルバイト",N(R32)&lt;=0),"要確認（労働時間未入力）",IF(SUM(D32:O32)-N(Q32)+N(P32)&lt;=0,"要確認（金額の確認）","集計対象"))))))</f>
        <v/>
      </c>
      <c r="T32" s="19">
        <f>IF(S32="集計対象",SUM(D32:O32)-N(Q32)+N(P32),"")</f>
        <v/>
      </c>
      <c r="U32" s="20">
        <f>IF(S32&lt;&gt;"集計対象",0,IF(OR(C32="正社員",C32="契約社員"),1,N(R32)/$C$48))</f>
        <v/>
      </c>
      <c r="V32" s="21">
        <f>IF(S32="要確認（雇用形態未選択）","⚠雇用形態をプルダウンから選択してください",IF(S32="要確認（労働時間未入力）","⚠パート・アルバイトは年間労働時間の入力が必要です",IF(S32="要確認（金額の確認）","⚠年間通勤手当が支給合計を上回っています。金額をご確認ください",IF(AND(S32="集計対象",C32="パート・アルバイト",N(R32)&gt;2080),"⚠年間労働時間が2080時間を超えています。桁をご確認ください",""))))</f>
        <v/>
      </c>
    </row>
    <row r="33">
      <c r="A33" s="14" t="n">
        <v>27</v>
      </c>
      <c r="B33" s="15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8">
        <f>IF(B33="","",IF(C33="役員","対象外（役員）",IF(NOT(OR(C33="正社員",C33="契約社員",C33="パート・アルバイト")),"要確認（雇用形態未選択）",IF(NOT(AND(COUNT(D33:O33)=12,COUNTIF(D33:O33,"&gt;0")=12)),"対象外（全月支給なし）",IF(AND(C33="パート・アルバイト",N(R33)&lt;=0),"要確認（労働時間未入力）",IF(SUM(D33:O33)-N(Q33)+N(P33)&lt;=0,"要確認（金額の確認）","集計対象"))))))</f>
        <v/>
      </c>
      <c r="T33" s="19">
        <f>IF(S33="集計対象",SUM(D33:O33)-N(Q33)+N(P33),"")</f>
        <v/>
      </c>
      <c r="U33" s="20">
        <f>IF(S33&lt;&gt;"集計対象",0,IF(OR(C33="正社員",C33="契約社員"),1,N(R33)/$C$48))</f>
        <v/>
      </c>
      <c r="V33" s="21">
        <f>IF(S33="要確認（雇用形態未選択）","⚠雇用形態をプルダウンから選択してください",IF(S33="要確認（労働時間未入力）","⚠パート・アルバイトは年間労働時間の入力が必要です",IF(S33="要確認（金額の確認）","⚠年間通勤手当が支給合計を上回っています。金額をご確認ください",IF(AND(S33="集計対象",C33="パート・アルバイト",N(R33)&gt;2080),"⚠年間労働時間が2080時間を超えています。桁をご確認ください",""))))</f>
        <v/>
      </c>
    </row>
    <row r="34">
      <c r="A34" s="14" t="n">
        <v>28</v>
      </c>
      <c r="B34" s="15" t="n"/>
      <c r="C34" s="16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8">
        <f>IF(B34="","",IF(C34="役員","対象外（役員）",IF(NOT(OR(C34="正社員",C34="契約社員",C34="パート・アルバイト")),"要確認（雇用形態未選択）",IF(NOT(AND(COUNT(D34:O34)=12,COUNTIF(D34:O34,"&gt;0")=12)),"対象外（全月支給なし）",IF(AND(C34="パート・アルバイト",N(R34)&lt;=0),"要確認（労働時間未入力）",IF(SUM(D34:O34)-N(Q34)+N(P34)&lt;=0,"要確認（金額の確認）","集計対象"))))))</f>
        <v/>
      </c>
      <c r="T34" s="19">
        <f>IF(S34="集計対象",SUM(D34:O34)-N(Q34)+N(P34),"")</f>
        <v/>
      </c>
      <c r="U34" s="20">
        <f>IF(S34&lt;&gt;"集計対象",0,IF(OR(C34="正社員",C34="契約社員"),1,N(R34)/$C$48))</f>
        <v/>
      </c>
      <c r="V34" s="21">
        <f>IF(S34="要確認（雇用形態未選択）","⚠雇用形態をプルダウンから選択してください",IF(S34="要確認（労働時間未入力）","⚠パート・アルバイトは年間労働時間の入力が必要です",IF(S34="要確認（金額の確認）","⚠年間通勤手当が支給合計を上回っています。金額をご確認ください",IF(AND(S34="集計対象",C34="パート・アルバイト",N(R34)&gt;2080),"⚠年間労働時間が2080時間を超えています。桁をご確認ください",""))))</f>
        <v/>
      </c>
    </row>
    <row r="35">
      <c r="A35" s="14" t="n">
        <v>29</v>
      </c>
      <c r="B35" s="15" t="n"/>
      <c r="C35" s="16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8">
        <f>IF(B35="","",IF(C35="役員","対象外（役員）",IF(NOT(OR(C35="正社員",C35="契約社員",C35="パート・アルバイト")),"要確認（雇用形態未選択）",IF(NOT(AND(COUNT(D35:O35)=12,COUNTIF(D35:O35,"&gt;0")=12)),"対象外（全月支給なし）",IF(AND(C35="パート・アルバイト",N(R35)&lt;=0),"要確認（労働時間未入力）",IF(SUM(D35:O35)-N(Q35)+N(P35)&lt;=0,"要確認（金額の確認）","集計対象"))))))</f>
        <v/>
      </c>
      <c r="T35" s="19">
        <f>IF(S35="集計対象",SUM(D35:O35)-N(Q35)+N(P35),"")</f>
        <v/>
      </c>
      <c r="U35" s="20">
        <f>IF(S35&lt;&gt;"集計対象",0,IF(OR(C35="正社員",C35="契約社員"),1,N(R35)/$C$48))</f>
        <v/>
      </c>
      <c r="V35" s="21">
        <f>IF(S35="要確認（雇用形態未選択）","⚠雇用形態をプルダウンから選択してください",IF(S35="要確認（労働時間未入力）","⚠パート・アルバイトは年間労働時間の入力が必要です",IF(S35="要確認（金額の確認）","⚠年間通勤手当が支給合計を上回っています。金額をご確認ください",IF(AND(S35="集計対象",C35="パート・アルバイト",N(R35)&gt;2080),"⚠年間労働時間が2080時間を超えています。桁をご確認ください",""))))</f>
        <v/>
      </c>
    </row>
    <row r="36">
      <c r="A36" s="14" t="n">
        <v>30</v>
      </c>
      <c r="B36" s="15" t="n"/>
      <c r="C36" s="16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8">
        <f>IF(B36="","",IF(C36="役員","対象外（役員）",IF(NOT(OR(C36="正社員",C36="契約社員",C36="パート・アルバイト")),"要確認（雇用形態未選択）",IF(NOT(AND(COUNT(D36:O36)=12,COUNTIF(D36:O36,"&gt;0")=12)),"対象外（全月支給なし）",IF(AND(C36="パート・アルバイト",N(R36)&lt;=0),"要確認（労働時間未入力）",IF(SUM(D36:O36)-N(Q36)+N(P36)&lt;=0,"要確認（金額の確認）","集計対象"))))))</f>
        <v/>
      </c>
      <c r="T36" s="19">
        <f>IF(S36="集計対象",SUM(D36:O36)-N(Q36)+N(P36),"")</f>
        <v/>
      </c>
      <c r="U36" s="20">
        <f>IF(S36&lt;&gt;"集計対象",0,IF(OR(C36="正社員",C36="契約社員"),1,N(R36)/$C$48))</f>
        <v/>
      </c>
      <c r="V36" s="21">
        <f>IF(S36="要確認（雇用形態未選択）","⚠雇用形態をプルダウンから選択してください",IF(S36="要確認（労働時間未入力）","⚠パート・アルバイトは年間労働時間の入力が必要です",IF(S36="要確認（金額の確認）","⚠年間通勤手当が支給合計を上回っています。金額をご確認ください",IF(AND(S36="集計対象",C36="パート・アルバイト",N(R36)&gt;2080),"⚠年間労働時間が2080時間を超えています。桁をご確認ください",""))))</f>
        <v/>
      </c>
    </row>
    <row r="38">
      <c r="A38" s="12" t="inlineStr">
        <is>
          <t>■ 会社全体の集計（自動計算 → 「提出用シート」に反映）</t>
        </is>
      </c>
    </row>
    <row r="39">
      <c r="A39" s="22" t="inlineStr">
        <is>
          <t>給与支給総額（R216）</t>
        </is>
      </c>
      <c r="C39" s="23">
        <f>SUM(T7:T36)</f>
        <v/>
      </c>
    </row>
    <row r="40">
      <c r="A40" s="22" t="inlineStr">
        <is>
          <t>従業員数（FTE換算・R215）</t>
        </is>
      </c>
      <c r="C40" s="24">
        <f>ROUND(SUM(U7:U36),1)</f>
        <v/>
      </c>
    </row>
    <row r="41">
      <c r="A41" s="3" t="inlineStr">
        <is>
          <t xml:space="preserve">　内訳：フルタイム人数（正社員＋契約社員）</t>
        </is>
      </c>
      <c r="C41" s="25">
        <f>COUNTIFS($S$7:$S$36,"集計対象",$C$7:$C$36,"正社員")+COUNTIFS($S$7:$S$36,"集計対象",$C$7:$C$36,"契約社員")</f>
        <v/>
      </c>
    </row>
    <row r="42">
      <c r="A42" s="3" t="inlineStr">
        <is>
          <t xml:space="preserve">　内訳：パート・アルバイト人数</t>
        </is>
      </c>
      <c r="C42" s="25">
        <f>COUNTIFS($S$7:$S$36,"集計対象",$C$7:$C$36,"パート・アルバイト")</f>
        <v/>
      </c>
    </row>
    <row r="43">
      <c r="A43" s="3" t="inlineStr">
        <is>
          <t xml:space="preserve">　内訳：パート・アルバイト 年間労働時間 合計</t>
        </is>
      </c>
      <c r="C43" s="19">
        <f>SUMIFS($R$7:$R$36,$S$7:$S$36,"集計対象",$C$7:$C$36,"パート・アルバイト")</f>
        <v/>
      </c>
    </row>
    <row r="44">
      <c r="A44" s="3" t="inlineStr">
        <is>
          <t xml:space="preserve">　対象者 合計人数</t>
        </is>
      </c>
      <c r="C44" s="25">
        <f>COUNTIF($S$7:$S$36,"集計対象")</f>
        <v/>
      </c>
    </row>
    <row r="45">
      <c r="A45" s="3" t="inlineStr">
        <is>
          <t xml:space="preserve">　参考：1人当たり給与支給総額（FTE換算1人当たり）</t>
        </is>
      </c>
      <c r="C45" s="19">
        <f>IFERROR($C$39/$C$40,"")</f>
        <v/>
      </c>
    </row>
    <row r="46">
      <c r="A46" s="3" t="inlineStr">
        <is>
          <t xml:space="preserve">　参考：時間欄に入力があった対象者の年間労働時間 合計</t>
        </is>
      </c>
      <c r="C46" s="26">
        <f>SUMIFS($R$7:$R$36,$S$7:$S$36,"集計対象")</f>
        <v/>
      </c>
    </row>
    <row r="47">
      <c r="A47" s="3" t="inlineStr">
        <is>
          <t xml:space="preserve">　入力チェック：要確認・警告の件数（0 であること）</t>
        </is>
      </c>
      <c r="C47" s="27">
        <f>COUNTIF(V7:V36,"⚠*")+IF($A$4="",0,1)</f>
        <v/>
      </c>
    </row>
    <row r="48">
      <c r="A48" s="10" t="inlineStr">
        <is>
          <t>労働時間換算の分母（時間／年・固定）</t>
        </is>
      </c>
      <c r="C48" s="28" t="n">
        <v>2080</v>
      </c>
      <c r="D48" s="10" t="inlineStr">
        <is>
          <t>※正社員の年間所定労働時間相当（週40h×52週）。変更しないでください。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5">
    <mergeCell ref="A38:F38"/>
    <mergeCell ref="A48:B48"/>
    <mergeCell ref="A43:B43"/>
    <mergeCell ref="A41:B41"/>
    <mergeCell ref="A5:V5"/>
    <mergeCell ref="A1:V1"/>
    <mergeCell ref="A47:B47"/>
    <mergeCell ref="A42:B42"/>
    <mergeCell ref="A45:B45"/>
    <mergeCell ref="A46:B46"/>
    <mergeCell ref="A3:C3"/>
    <mergeCell ref="A44:B44"/>
    <mergeCell ref="A40:B40"/>
    <mergeCell ref="A4:V4"/>
    <mergeCell ref="A39:B39"/>
  </mergeCells>
  <dataValidations count="1">
    <dataValidation sqref="C7:C36" showDropDown="0" showInputMessage="0" showErrorMessage="1" allowBlank="1" error="一覧から選択してください" prompt="正社員／契約社員／パート・アルバイト／役員 から選択" type="list">
      <formula1>"正社員,契約社員,パート・アルバイト,役員"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4" customWidth="1" min="3" max="3"/>
    <col width="16" customWidth="1" min="4" max="4"/>
  </cols>
  <sheetData>
    <row r="1">
      <c r="B1" s="4" t="inlineStr">
        <is>
          <t>【本シートのみをPDF等でご提出ください】計算用シートは提出不要です。</t>
        </is>
      </c>
    </row>
    <row r="2" ht="20" customHeight="1">
      <c r="B2" s="29" t="inlineStr">
        <is>
          <t>会社名</t>
        </is>
      </c>
      <c r="C2" s="15" t="n"/>
    </row>
    <row r="3" ht="20" customHeight="1">
      <c r="B3" s="29" t="inlineStr">
        <is>
          <t>記入日</t>
        </is>
      </c>
      <c r="C3" s="8" t="n"/>
    </row>
    <row r="4">
      <c r="B4" s="11">
        <f>IF('計算用（社内控え・非提出）'!$C$47=0,"","⚠ 計算用シートに未解消の要確認・警告が "&amp;'計算用（社内控え・非提出）'!$C$47&amp;" 件あります。解消してからご提出ください。")</f>
        <v/>
      </c>
    </row>
    <row r="6" ht="22" customHeight="1">
      <c r="B6" s="30" t="inlineStr">
        <is>
          <t>対象期間（前期決算期・12ヶ月）</t>
        </is>
      </c>
      <c r="C6" s="31">
        <f>IF(OR('計算用（社内控え・非提出）'!D3="",'計算用（社内控え・非提出）'!F3=""),"（未入力）計算用シートに対象期間をご記入ください",TEXT('計算用（社内控え・非提出）'!D3,"yyyy年m月d日")&amp;" 〜 "&amp;TEXT('計算用（社内控え・非提出）'!F3,"yyyy年m月d日"))</f>
        <v/>
      </c>
    </row>
    <row r="8" ht="22" customHeight="1">
      <c r="B8" s="32" t="inlineStr">
        <is>
          <t>給与支給総額（R216）</t>
        </is>
      </c>
      <c r="C8" s="33">
        <f>'計算用（社内控え・非提出）'!C39</f>
        <v/>
      </c>
    </row>
    <row r="10" ht="22" customHeight="1">
      <c r="B10" s="32" t="inlineStr">
        <is>
          <t>従業員数（FTE換算・R215）</t>
        </is>
      </c>
      <c r="C10" s="34">
        <f>'計算用（社内控え・非提出）'!C40</f>
        <v/>
      </c>
    </row>
    <row r="12" ht="22" customHeight="1">
      <c r="B12" s="30" t="inlineStr">
        <is>
          <t xml:space="preserve">　内訳：フルタイム人数（正社員＋契約社員）</t>
        </is>
      </c>
      <c r="C12" s="35">
        <f>'計算用（社内控え・非提出）'!C41</f>
        <v/>
      </c>
    </row>
    <row r="14" ht="22" customHeight="1">
      <c r="B14" s="30" t="inlineStr">
        <is>
          <t xml:space="preserve">　内訳：パート・アルバイト人数</t>
        </is>
      </c>
      <c r="C14" s="35">
        <f>'計算用（社内控え・非提出）'!C42</f>
        <v/>
      </c>
    </row>
    <row r="16" ht="22" customHeight="1">
      <c r="B16" s="30" t="inlineStr">
        <is>
          <t xml:space="preserve">　内訳：パート・アルバイト 年間労働時間 合計</t>
        </is>
      </c>
      <c r="C16" s="36">
        <f>'計算用（社内控え・非提出）'!C43</f>
        <v/>
      </c>
    </row>
    <row r="18" ht="22" customHeight="1">
      <c r="B18" s="30" t="inlineStr">
        <is>
          <t xml:space="preserve">　参考：1人当たり給与支給総額（FTE換算1人当たり）</t>
        </is>
      </c>
      <c r="C18" s="36">
        <f>'計算用（社内控え・非提出）'!C45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B1:D1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2026-07-21T00:29:43Z</dcterms:created>
  <dcterms:modified xmlns:dcterms="http://purl.org/dc/terms/" xmlns:xsi="http://www.w3.org/2001/XMLSchema-instance" xsi:type="dcterms:W3CDTF">2026-07-21T00:29:43Z</dcterms:modified>
</cp:coreProperties>
</file>