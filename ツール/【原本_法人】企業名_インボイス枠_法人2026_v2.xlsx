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転記" sheetId="1" state="visible" r:id="rId1"/>
    <sheet xmlns:r="http://schemas.openxmlformats.org/officeDocument/2006/relationships" name="申請内容" sheetId="2" state="visible" r:id="rId2"/>
    <sheet xmlns:r="http://schemas.openxmlformats.org/officeDocument/2006/relationships" name="給与支給総額計算" sheetId="3" state="visible" r:id="rId3"/>
    <sheet xmlns:r="http://schemas.openxmlformats.org/officeDocument/2006/relationships" name="給与支給総額計算 (旧)" sheetId="4" state="hidden" r:id="rId4"/>
    <sheet xmlns:r="http://schemas.openxmlformats.org/officeDocument/2006/relationships" name="申請金額" sheetId="5" state="visible" r:id="rId5"/>
    <sheet xmlns:r="http://schemas.openxmlformats.org/officeDocument/2006/relationships" name="小規模事業者確認" sheetId="6" state="visible" r:id="rId6"/>
    <sheet xmlns:r="http://schemas.openxmlformats.org/officeDocument/2006/relationships" name="分類表" sheetId="7" state="hidden" r:id="rId7"/>
    <sheet xmlns:r="http://schemas.openxmlformats.org/officeDocument/2006/relationships" name="商品マスタ" sheetId="8" state="hidden" r:id="rId8"/>
    <sheet xmlns:r="http://schemas.openxmlformats.org/officeDocument/2006/relationships" name="プルダウン用" sheetId="9" state="hidden" r:id="rId9"/>
    <sheet xmlns:r="http://schemas.openxmlformats.org/officeDocument/2006/relationships" name="実績報告" sheetId="10" state="hidden" r:id="rId10"/>
    <sheet xmlns:r="http://schemas.openxmlformats.org/officeDocument/2006/relationships" name="編集用" sheetId="11" state="hidden" r:id="rId11"/>
  </sheets>
  <definedNames/>
  <calcPr calcId="124519" fullCalcOnLoad="1"/>
</workbook>
</file>

<file path=xl/styles.xml><?xml version="1.0" encoding="utf-8"?>
<styleSheet xmlns="http://schemas.openxmlformats.org/spreadsheetml/2006/main">
  <numFmts count="7">
    <numFmt numFmtId="164" formatCode="#,##0_ "/>
    <numFmt numFmtId="165" formatCode="0000"/>
    <numFmt numFmtId="166" formatCode="yyyy/MM/dd"/>
    <numFmt numFmtId="167" formatCode="yyyy/m/d"/>
    <numFmt numFmtId="168" formatCode="#,##0_);-#,##0"/>
    <numFmt numFmtId="169" formatCode="m&quot;月&quot;d&quot;日&quot;"/>
    <numFmt numFmtId="170" formatCode="[$¥-411]#,##0"/>
  </numFmts>
  <fonts count="75">
    <font>
      <name val="Arial"/>
      <color rgb="FF000000"/>
      <sz val="10"/>
      <scheme val="minor"/>
    </font>
    <font>
      <name val="&quot;Yu Gothic&quot;"/>
      <color rgb="FF000000"/>
      <sz val="12"/>
    </font>
    <font>
      <name val="Arial"/>
      <color theme="1"/>
    </font>
    <font>
      <name val="&quot;Meiryo UI&quot;"/>
      <color rgb="FF000000"/>
      <sz val="12"/>
    </font>
    <font>
      <name val="Arial"/>
      <color rgb="FF000000"/>
      <sz val="12"/>
    </font>
    <font>
      <name val="&quot;Meiryo UI&quot;"/>
      <color rgb="FFFF0000"/>
      <sz val="12"/>
    </font>
    <font>
      <name val="&quot;Meiryo UI&quot;"/>
      <color rgb="FF000000"/>
      <sz val="11"/>
    </font>
    <font>
      <name val="&quot;Meiryo UI&quot;"/>
      <color rgb="FF000000"/>
    </font>
    <font>
      <name val="&quot;Meiryo UI&quot;"/>
      <b val="1"/>
      <color rgb="FFFF0000"/>
      <sz val="12"/>
    </font>
    <font>
      <name val="&quot;Meiryo UI&quot;"/>
      <color rgb="FF202124"/>
      <sz val="12"/>
    </font>
    <font>
      <name val="Meiryo"/>
      <color theme="1"/>
      <sz val="12"/>
    </font>
    <font>
      <name val="Calibri"/>
      <color theme="1"/>
      <sz val="12"/>
    </font>
    <font>
      <name val="Calibri"/>
      <color rgb="FFFF0000"/>
      <sz val="12"/>
    </font>
    <font>
      <name val="Arial"/>
      <color theme="1"/>
      <scheme val="minor"/>
    </font>
    <font>
      <name val="Calibri"/>
      <color theme="1"/>
      <sz val="11"/>
    </font>
    <font>
      <name val="MS PGothic"/>
      <b val="1"/>
      <color theme="1"/>
      <sz val="13"/>
    </font>
    <font/>
    <font>
      <name val="MS PGothic"/>
      <b val="1"/>
      <color theme="1"/>
      <sz val="15"/>
    </font>
    <font>
      <name val="MS PGothic"/>
      <color theme="1"/>
      <sz val="11"/>
    </font>
    <font>
      <name val="MS PGothic"/>
      <b val="1"/>
      <color theme="1"/>
      <sz val="12"/>
    </font>
    <font>
      <name val="MS PGothic"/>
      <b val="1"/>
      <color theme="1"/>
      <sz val="11"/>
    </font>
    <font>
      <name val="Calibri"/>
      <color rgb="FF1155CC"/>
      <sz val="11"/>
      <u val="single"/>
    </font>
    <font>
      <name val="Arial"/>
      <color theme="1"/>
      <sz val="11"/>
      <scheme val="minor"/>
    </font>
    <font>
      <name val="MS PGothic"/>
      <b val="1"/>
      <color rgb="FF0000FF"/>
      <sz val="11"/>
      <u val="single"/>
    </font>
    <font>
      <name val="Arial"/>
      <color theme="1"/>
      <u val="single"/>
    </font>
    <font>
      <name val="Arial"/>
      <b val="1"/>
      <color rgb="FFFFFFFF"/>
      <sz val="12"/>
    </font>
    <font>
      <name val="Meiryo"/>
      <color theme="1"/>
      <sz val="11"/>
    </font>
    <font>
      <name val="Arial"/>
      <color theme="1"/>
      <sz val="11"/>
    </font>
    <font>
      <name val="Meiryo"/>
      <color rgb="FFFF0000"/>
      <sz val="11"/>
    </font>
    <font>
      <name val="Meiryo"/>
      <b val="1"/>
      <color rgb="FF0000FF"/>
      <sz val="11"/>
      <u val="single"/>
    </font>
    <font>
      <color rgb="FF0000FF"/>
      <sz val="11"/>
      <u val="single"/>
    </font>
    <font>
      <name val="Meiryo"/>
      <b val="1"/>
      <color theme="1"/>
      <sz val="11"/>
      <u val="single"/>
    </font>
    <font>
      <name val="Arial"/>
      <color rgb="FFFF0000"/>
      <sz val="11"/>
      <scheme val="minor"/>
    </font>
    <font>
      <name val="Meiryo"/>
      <b val="1"/>
      <color theme="1"/>
      <sz val="11"/>
      <u val="single"/>
    </font>
    <font>
      <name val="Meiryo"/>
      <b val="1"/>
      <color theme="1"/>
      <sz val="11"/>
    </font>
    <font>
      <name val="Meiryo"/>
      <color rgb="FF000000"/>
      <sz val="11"/>
    </font>
    <font>
      <name val="Arial"/>
      <color rgb="FF000000"/>
      <sz val="11"/>
    </font>
    <font>
      <name val="Meiryo"/>
      <b val="1"/>
      <color rgb="FFFF0000"/>
      <sz val="11"/>
    </font>
    <font>
      <name val="Calibri"/>
      <color rgb="FFFF0000"/>
      <sz val="11"/>
    </font>
    <font>
      <name val="Calibri"/>
      <b val="1"/>
      <color theme="1"/>
      <sz val="11"/>
    </font>
    <font>
      <name val="MS PGothic"/>
      <color rgb="FF0000FF"/>
      <sz val="11"/>
      <u val="single"/>
    </font>
    <font>
      <name val="MS PGothic"/>
      <b val="1"/>
      <color rgb="FFFF0000"/>
      <sz val="11"/>
    </font>
    <font>
      <name val="Arial"/>
      <color rgb="FF0000FF"/>
      <u val="single"/>
    </font>
    <font>
      <name val="Calibri"/>
      <b val="1"/>
      <color rgb="FFFF0000"/>
      <sz val="11"/>
    </font>
    <font>
      <name val="Arial"/>
      <color rgb="FFFF9900"/>
      <sz val="13"/>
      <scheme val="minor"/>
    </font>
    <font>
      <name val="&quot;Yu Gothic&quot;"/>
      <color rgb="FF000000"/>
      <sz val="11"/>
    </font>
    <font>
      <name val="Arial"/>
      <b val="1"/>
      <color theme="1"/>
      <sz val="13"/>
      <scheme val="minor"/>
    </font>
    <font>
      <name val="Arial"/>
      <b val="1"/>
      <color theme="1"/>
      <sz val="13"/>
    </font>
    <font>
      <name val="Arial"/>
      <color rgb="FF434343"/>
      <scheme val="minor"/>
    </font>
    <font>
      <name val="&quot;Yu Gothic&quot;"/>
      <b val="1"/>
      <color rgb="FF000000"/>
      <sz val="11"/>
    </font>
    <font>
      <name val="Yu Gothic"/>
      <color theme="1"/>
      <sz val="11"/>
    </font>
    <font>
      <name val="Arial"/>
      <color rgb="FF434343"/>
      <sz val="11"/>
    </font>
    <font>
      <name val="&quot;Yu Gothic&quot;"/>
      <color rgb="FF434343"/>
      <sz val="11"/>
    </font>
    <font>
      <name val="Arial"/>
      <b val="1"/>
      <color theme="1"/>
      <sz val="11"/>
    </font>
    <font>
      <name val="Arial"/>
      <b val="1"/>
      <color theme="1"/>
    </font>
    <font>
      <name val="Arial"/>
      <b val="1"/>
      <color rgb="FF000000"/>
      <sz val="11"/>
    </font>
    <font>
      <name val="Arial"/>
      <b val="1"/>
      <color theme="1"/>
      <scheme val="minor"/>
    </font>
    <font>
      <name val="Arial"/>
      <b val="1"/>
      <color theme="1"/>
      <sz val="14"/>
      <scheme val="minor"/>
    </font>
    <font>
      <name val="&quot;Yu Gothic&quot;"/>
      <color theme="1"/>
      <sz val="11"/>
    </font>
    <font>
      <name val="Meiryo"/>
      <color theme="1"/>
      <sz val="8"/>
    </font>
    <font>
      <name val="Docs-Calibri"/>
      <color theme="1"/>
      <sz val="11"/>
    </font>
    <font>
      <name val="Arial"/>
      <b val="1"/>
      <color rgb="FFFF0000"/>
      <scheme val="minor"/>
    </font>
    <font>
      <name val="Arial"/>
      <color rgb="FFFF0000"/>
    </font>
    <font>
      <name val="Yu Gothic"/>
      <color theme="1"/>
      <sz val="9"/>
    </font>
    <font>
      <name val="Arial"/>
      <color theme="1"/>
      <sz val="9"/>
    </font>
    <font>
      <name val="Arial"/>
      <color theme="1"/>
      <sz val="8"/>
    </font>
    <font>
      <name val="Calibri"/>
      <b val="1"/>
      <color theme="1"/>
      <sz val="28"/>
    </font>
    <font>
      <name val="Roboto"/>
      <color rgb="FF434343"/>
    </font>
    <font>
      <name val="Sans-serif"/>
      <color theme="1"/>
      <sz val="9"/>
    </font>
    <font>
      <name val="Roboto"/>
      <color rgb="FFFF0000"/>
    </font>
    <font>
      <name val="Roboto"/>
      <color rgb="FF434343"/>
      <sz val="11"/>
    </font>
    <font>
      <name val="&quot;ヒラギノ角ゴ Pro W3&quot;"/>
      <b val="1"/>
      <color rgb="FFFFFFFF"/>
      <sz val="9"/>
    </font>
    <font>
      <name val="&quot;ヒラギノ角ゴ Pro W3&quot;"/>
      <color rgb="FF333333"/>
      <sz val="12"/>
    </font>
    <font>
      <name val="Arial"/>
      <b val="1"/>
      <color theme="1"/>
      <sz val="12"/>
      <scheme val="minor"/>
    </font>
    <font>
      <name val="&quot;Yu Gothic UI&quot;"/>
      <b val="1"/>
      <color rgb="FF000000"/>
    </font>
  </fonts>
  <fills count="32">
    <fill>
      <patternFill/>
    </fill>
    <fill>
      <patternFill patternType="lightGray"/>
    </fill>
    <fill>
      <patternFill patternType="solid">
        <fgColor rgb="FFFFFFFF"/>
        <bgColor rgb="FFFFFFFF"/>
      </patternFill>
    </fill>
    <fill>
      <patternFill patternType="solid">
        <fgColor rgb="FFFFFF00"/>
        <bgColor rgb="FFFFFF00"/>
      </patternFill>
    </fill>
    <fill>
      <patternFill patternType="solid">
        <fgColor rgb="FFFFE699"/>
        <bgColor rgb="FFFFE699"/>
      </patternFill>
    </fill>
    <fill>
      <patternFill patternType="solid">
        <fgColor rgb="FFD9D9D9"/>
        <bgColor rgb="FFD9D9D9"/>
      </patternFill>
    </fill>
    <fill>
      <patternFill patternType="solid">
        <fgColor rgb="FFFFE598"/>
        <bgColor rgb="FFFFE598"/>
      </patternFill>
    </fill>
    <fill>
      <patternFill patternType="solid">
        <fgColor rgb="FF93C47D"/>
        <bgColor rgb="FF93C47D"/>
      </patternFill>
    </fill>
    <fill>
      <patternFill patternType="solid">
        <fgColor rgb="FFFF0000"/>
        <bgColor rgb="FFFF0000"/>
      </patternFill>
    </fill>
    <fill>
      <patternFill patternType="solid">
        <fgColor rgb="FF000000"/>
        <bgColor rgb="FF000000"/>
      </patternFill>
    </fill>
    <fill>
      <patternFill patternType="solid">
        <fgColor rgb="FF9FC5E8"/>
        <bgColor rgb="FF9FC5E8"/>
      </patternFill>
    </fill>
    <fill>
      <patternFill patternType="solid">
        <fgColor rgb="FFD0E0E3"/>
        <bgColor rgb="FFD0E0E3"/>
      </patternFill>
    </fill>
    <fill>
      <patternFill patternType="solid">
        <fgColor rgb="FF674EA7"/>
        <bgColor rgb="FF674EA7"/>
      </patternFill>
    </fill>
    <fill>
      <patternFill patternType="solid">
        <fgColor rgb="FFB4A7D6"/>
        <bgColor rgb="FFB4A7D6"/>
      </patternFill>
    </fill>
    <fill>
      <patternFill patternType="solid">
        <fgColor rgb="FFCCCCCC"/>
        <bgColor rgb="FFCCCCCC"/>
      </patternFill>
    </fill>
    <fill>
      <patternFill patternType="solid">
        <fgColor rgb="FFFF9900"/>
        <bgColor rgb="FFFF9900"/>
      </patternFill>
    </fill>
    <fill>
      <patternFill patternType="solid">
        <fgColor theme="0"/>
        <bgColor theme="0"/>
      </patternFill>
    </fill>
    <fill>
      <patternFill patternType="solid">
        <fgColor rgb="FF6AA84F"/>
        <bgColor rgb="FF6AA84F"/>
      </patternFill>
    </fill>
    <fill>
      <patternFill patternType="solid">
        <fgColor rgb="FFFFAF5A"/>
        <bgColor rgb="FFFFAF5A"/>
      </patternFill>
    </fill>
    <fill>
      <patternFill patternType="solid">
        <fgColor rgb="FF38761D"/>
        <bgColor rgb="FF38761D"/>
      </patternFill>
    </fill>
    <fill>
      <patternFill patternType="solid">
        <fgColor rgb="FFF4CCCC"/>
        <bgColor rgb="FFF4CCCC"/>
      </patternFill>
    </fill>
    <fill>
      <patternFill patternType="solid">
        <fgColor rgb="FFD9D2E9"/>
        <bgColor rgb="FFD9D2E9"/>
      </patternFill>
    </fill>
    <fill>
      <patternFill patternType="solid">
        <fgColor rgb="FFCFE2F3"/>
        <bgColor rgb="FFCFE2F3"/>
      </patternFill>
    </fill>
    <fill>
      <patternFill patternType="solid">
        <fgColor rgb="FFFCE5CD"/>
        <bgColor rgb="FFFCE5CD"/>
      </patternFill>
    </fill>
    <fill>
      <patternFill patternType="solid">
        <fgColor rgb="FFD9EAD3"/>
        <bgColor rgb="FFD9EAD3"/>
      </patternFill>
    </fill>
    <fill>
      <patternFill patternType="solid">
        <fgColor rgb="FF999999"/>
        <bgColor rgb="FF999999"/>
      </patternFill>
    </fill>
    <fill>
      <patternFill patternType="solid">
        <fgColor rgb="FFB6D7A8"/>
        <bgColor rgb="FFB6D7A8"/>
      </patternFill>
    </fill>
    <fill>
      <patternFill patternType="solid">
        <fgColor rgb="FFFFF2CC"/>
        <bgColor rgb="FFFFF2CC"/>
      </patternFill>
    </fill>
    <fill>
      <patternFill patternType="solid">
        <fgColor rgb="FFF6F8F9"/>
        <bgColor rgb="FFF6F8F9"/>
      </patternFill>
    </fill>
    <fill>
      <patternFill patternType="solid">
        <fgColor rgb="FF6E7380"/>
        <bgColor rgb="FF6E7380"/>
      </patternFill>
    </fill>
    <fill>
      <patternFill patternType="solid">
        <fgColor rgb="FF8E7CC3"/>
        <bgColor rgb="FF8E7CC3"/>
      </patternFill>
    </fill>
    <fill>
      <patternFill patternType="solid">
        <fgColor rgb="FFB7B7B7"/>
        <bgColor rgb="FFB7B7B7"/>
      </patternFill>
    </fill>
  </fills>
  <borders count="68">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right/>
      <top/>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border>
    <border>
      <left style="thin">
        <color rgb="FF000000"/>
      </left>
      <right style="medium">
        <color rgb="FF000000"/>
      </right>
      <bottom style="thin">
        <color rgb="FF000000"/>
      </bottom>
    </border>
    <border>
      <left style="medium">
        <color rgb="FF000000"/>
      </left>
      <right style="thin">
        <color rgb="FF000000"/>
      </right>
      <bottom style="thin">
        <color rgb="FF000000"/>
      </bottom>
    </border>
    <border>
      <right style="medium">
        <color rgb="FF000000"/>
      </right>
      <bottom style="thin">
        <color rgb="FF000000"/>
      </bottom>
    </border>
    <border>
      <right style="medium">
        <color rgb="FF000000"/>
      </right>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right/>
      <bottom/>
    </border>
    <border>
      <left/>
      <bottom/>
    </border>
    <border>
      <left/>
      <top/>
      <bottom/>
    </border>
    <border>
      <top/>
      <bottom/>
    </border>
    <border>
      <right/>
      <top/>
      <bottom/>
    </border>
    <border>
      <left style="thin">
        <color rgb="FF000000"/>
      </left>
      <right/>
      <top style="thin">
        <color rgb="FF000000"/>
      </top>
      <bottom/>
    </border>
    <border>
      <left style="thin">
        <color rgb="FF000000"/>
      </left>
      <right style="thin">
        <color rgb="FF000000"/>
      </right>
      <top style="thin">
        <color rgb="FF000000"/>
      </top>
    </border>
    <border>
      <left style="thin">
        <color rgb="FF000000"/>
      </left>
      <top style="thin">
        <color rgb="FF000000"/>
      </top>
    </border>
    <border>
      <left style="thin">
        <color rgb="FF000000"/>
      </left>
      <right style="thin">
        <color rgb="FF000000"/>
      </right>
      <top style="thin">
        <color rgb="FF000000"/>
      </top>
      <bottom/>
    </border>
    <border>
      <right style="thin">
        <color rgb="FF000000"/>
      </right>
      <top style="thin">
        <color rgb="FF000000"/>
      </top>
    </border>
    <border>
      <left/>
      <right style="thin">
        <color rgb="FF000000"/>
      </right>
      <top style="thin">
        <color rgb="FF000000"/>
      </top>
      <bottom/>
    </border>
    <border>
      <right/>
      <bottom/>
    </border>
    <border>
      <left/>
      <right style="thin">
        <color rgb="FF000000"/>
      </right>
      <top style="thin">
        <color rgb="FF000000"/>
      </top>
      <bottom style="thin">
        <color rgb="FF000000"/>
      </bottom>
    </border>
    <border>
      <left style="thin">
        <color rgb="FF000000"/>
      </left>
      <right style="thin">
        <color rgb="FF000000"/>
      </right>
    </border>
    <border>
      <left/>
      <top/>
    </border>
    <border>
      <right/>
      <top/>
    </border>
    <border>
      <left style="thin">
        <color rgb="FF000000"/>
      </left>
      <right style="thin">
        <color rgb="FF000000"/>
      </right>
      <top style="thin">
        <color rgb="FF000000"/>
      </top>
      <bottom style="double">
        <color rgb="FF000000"/>
      </bottom>
    </border>
    <border>
      <top style="thin">
        <color rgb="FF000000"/>
      </top>
    </border>
    <border>
      <left style="thin">
        <color rgb="FF000000"/>
      </left>
      <top style="thin">
        <color rgb="FF000000"/>
      </top>
      <bottom style="thin">
        <color rgb="FF000000"/>
      </bottom>
    </border>
    <border>
      <right style="thin">
        <color rgb="FF000000"/>
      </right>
      <top style="thin">
        <color rgb="FFFF0000"/>
      </top>
      <bottom style="thin">
        <color rgb="FFFF0000"/>
      </bottom>
    </border>
    <border>
      <bottom style="thin">
        <color rgb="FFC9C9C9"/>
      </bottom>
    </border>
    <border>
      <right style="thin">
        <color rgb="FFC9C9C9"/>
      </right>
    </border>
    <border>
      <left style="thin">
        <color rgb="FFFFFFFF"/>
      </left>
      <right style="thin">
        <color rgb="FFFFFFFF"/>
      </right>
      <top style="thin">
        <color rgb="FFFFFFFF"/>
      </top>
      <bottom style="thin">
        <color rgb="FFFFFFFF"/>
      </bottom>
    </border>
    <border>
      <left style="thin">
        <color rgb="FF4A535C"/>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4A535C"/>
      </left>
      <right style="thin">
        <color rgb="FFF6F8F9"/>
      </right>
      <top style="thin">
        <color rgb="FFF6F8F9"/>
      </top>
      <bottom style="thin">
        <color rgb="FFF6F8F9"/>
      </bottom>
    </border>
    <border>
      <left style="thin">
        <color rgb="FFC9C9C9"/>
      </left>
      <right style="thin">
        <color rgb="FFC9C9C9"/>
      </right>
      <top style="thin">
        <color rgb="FFC9C9C9"/>
      </top>
      <bottom style="thin">
        <color rgb="FFC9C9C9"/>
      </bottom>
    </border>
    <border>
      <left style="thin">
        <color rgb="FFBBBFCA"/>
      </left>
      <right style="thin">
        <color rgb="FFBBBFCA"/>
      </right>
      <top style="thin">
        <color rgb="FFBBBFCA"/>
      </top>
      <bottom style="thin">
        <color rgb="FFBBBFCA"/>
      </bottom>
    </border>
    <border>
      <left/>
      <right/>
      <top/>
    </border>
    <border>
      <left style="thin">
        <color rgb="FF000000"/>
      </left>
      <bottom style="thin">
        <color rgb="FF000000"/>
      </bottom>
    </border>
    <border>
      <left style="medium">
        <color rgb="FF000000"/>
      </left>
      <right style="medium">
        <color rgb="FF000000"/>
      </right>
      <top style="medium">
        <color rgb="FF000000"/>
      </top>
      <bottom style="thin">
        <color rgb="FF000000"/>
      </bottom>
    </border>
    <border>
      <top style="medium">
        <color rgb="FF000000"/>
      </top>
    </border>
    <border>
      <right style="medium">
        <color rgb="FF000000"/>
      </right>
      <top style="medium">
        <color rgb="FF000000"/>
      </top>
    </border>
    <border>
      <left style="medium">
        <color rgb="FF000000"/>
      </left>
      <right style="medium">
        <color rgb="FF000000"/>
      </right>
      <top style="thin">
        <color rgb="FF000000"/>
      </top>
      <bottom style="thin">
        <color rgb="FF000000"/>
      </bottom>
    </border>
    <border>
      <right style="medium">
        <color rgb="FF000000"/>
      </right>
      <top style="thin">
        <color rgb="FF000000"/>
      </top>
    </border>
    <border>
      <left style="medium">
        <color rgb="FF000000"/>
      </left>
      <right style="thin">
        <color rgb="FF000000"/>
      </right>
      <top style="medium">
        <color rgb="FF000000"/>
      </top>
      <bottom style="thin">
        <color rgb="FF000000"/>
      </bottom>
    </border>
    <border>
      <right style="thin">
        <color rgb="FF000000"/>
      </right>
      <top style="medium">
        <color rgb="FF000000"/>
      </top>
    </border>
    <border>
      <left style="medium">
        <color rgb="FF000000"/>
      </left>
    </border>
    <border>
      <left style="thin">
        <color rgb="FF000000"/>
      </left>
      <right style="medium">
        <color rgb="FF000000"/>
      </right>
      <top style="thin">
        <color rgb="FF000000"/>
      </top>
      <bottom style="medium">
        <color rgb="FF000000"/>
      </bottom>
    </border>
    <border>
      <left style="thin">
        <color rgb="FF000000"/>
      </left>
    </border>
    <border>
      <left/>
      <right style="thin">
        <color rgb="FF000000"/>
      </right>
      <top/>
      <bottom style="thin">
        <color rgb="FF000000"/>
      </bottom>
    </border>
    <border>
      <right style="thin">
        <color rgb="FF000000"/>
      </right>
    </border>
  </borders>
  <cellStyleXfs count="1">
    <xf numFmtId="0" fontId="0" fillId="0" borderId="0"/>
  </cellStyleXfs>
  <cellXfs count="525">
    <xf numFmtId="0" fontId="0" fillId="0" borderId="0" applyAlignment="1" pivotButton="0" quotePrefix="0" xfId="0">
      <alignment vertical="bottom"/>
    </xf>
    <xf numFmtId="0" fontId="1" fillId="0" borderId="0" applyAlignment="1" pivotButton="0" quotePrefix="0" xfId="0">
      <alignment vertical="bottom" wrapText="1"/>
    </xf>
    <xf numFmtId="0" fontId="1" fillId="0" borderId="0" applyAlignment="1" pivotButton="0" quotePrefix="0" xfId="0">
      <alignment vertical="bottom"/>
    </xf>
    <xf numFmtId="0" fontId="2" fillId="0" borderId="0" applyAlignment="1" pivotButton="0" quotePrefix="0" xfId="0">
      <alignment vertical="bottom"/>
    </xf>
    <xf numFmtId="0" fontId="1" fillId="0" borderId="0" applyAlignment="1" pivotButton="0" quotePrefix="0" xfId="0">
      <alignment vertical="bottom"/>
    </xf>
    <xf numFmtId="0" fontId="3" fillId="2" borderId="1" applyAlignment="1" pivotButton="0" quotePrefix="0" xfId="0">
      <alignment horizontal="center" wrapText="1"/>
    </xf>
    <xf numFmtId="0" fontId="3" fillId="2" borderId="2" applyAlignment="1" pivotButton="0" quotePrefix="0" xfId="0">
      <alignment horizontal="center"/>
    </xf>
    <xf numFmtId="0" fontId="3" fillId="2" borderId="2" applyAlignment="1" pivotButton="0" quotePrefix="0" xfId="0">
      <alignment horizontal="center"/>
    </xf>
    <xf numFmtId="0" fontId="3" fillId="0" borderId="0" applyAlignment="1" pivotButton="0" quotePrefix="0" xfId="0">
      <alignment horizontal="right" wrapText="1"/>
    </xf>
    <xf numFmtId="0" fontId="3" fillId="0" borderId="0" pivotButton="0" quotePrefix="0" xfId="0"/>
    <xf numFmtId="0" fontId="3" fillId="0" borderId="0" pivotButton="0" quotePrefix="0" xfId="0"/>
    <xf numFmtId="0" fontId="4" fillId="0" borderId="1" applyAlignment="1" pivotButton="0" quotePrefix="0" xfId="0">
      <alignment horizontal="right" wrapText="1"/>
    </xf>
    <xf numFmtId="0" fontId="4" fillId="3" borderId="1" pivotButton="0" quotePrefix="0" xfId="0"/>
    <xf numFmtId="0" fontId="3" fillId="0" borderId="1" pivotButton="0" quotePrefix="0" xfId="0"/>
    <xf numFmtId="0" fontId="3" fillId="0" borderId="1" applyAlignment="1" pivotButton="0" quotePrefix="0" xfId="0">
      <alignment horizontal="right" wrapText="1"/>
    </xf>
    <xf numFmtId="0" fontId="3" fillId="3" borderId="2" pivotButton="0" quotePrefix="0" xfId="0"/>
    <xf numFmtId="0" fontId="3" fillId="0" borderId="2" pivotButton="0" quotePrefix="0" xfId="0"/>
    <xf numFmtId="0" fontId="3" fillId="0" borderId="0" applyAlignment="1" pivotButton="0" quotePrefix="0" xfId="0">
      <alignment vertical="bottom" wrapText="1"/>
    </xf>
    <xf numFmtId="0" fontId="3" fillId="0" borderId="0" applyAlignment="1" pivotButton="0" quotePrefix="0" xfId="0">
      <alignment vertical="bottom"/>
    </xf>
    <xf numFmtId="0" fontId="3" fillId="0" borderId="0" applyAlignment="1" pivotButton="0" quotePrefix="0" xfId="0">
      <alignment horizontal="right" wrapText="1"/>
    </xf>
    <xf numFmtId="0" fontId="3" fillId="0" borderId="0" pivotButton="0" quotePrefix="0" xfId="0"/>
    <xf numFmtId="0" fontId="3" fillId="3" borderId="2" applyAlignment="1" pivotButton="0" quotePrefix="0" xfId="0">
      <alignment horizontal="right"/>
    </xf>
    <xf numFmtId="0" fontId="3" fillId="3" borderId="2" applyAlignment="1" pivotButton="0" quotePrefix="0" xfId="0">
      <alignment vertical="bottom"/>
    </xf>
    <xf numFmtId="0" fontId="3" fillId="0" borderId="2" pivotButton="0" quotePrefix="0" xfId="0"/>
    <xf numFmtId="0" fontId="3" fillId="0" borderId="0" applyAlignment="1" pivotButton="0" quotePrefix="0" xfId="0">
      <alignment wrapText="1"/>
    </xf>
    <xf numFmtId="0" fontId="4" fillId="3" borderId="2" applyAlignment="1" pivotButton="0" quotePrefix="0" xfId="0">
      <alignment vertical="bottom"/>
    </xf>
    <xf numFmtId="0" fontId="3" fillId="0" borderId="2" pivotButton="0" quotePrefix="0" xfId="0"/>
    <xf numFmtId="0" fontId="4" fillId="4" borderId="1" pivotButton="0" quotePrefix="0" xfId="0"/>
    <xf numFmtId="49" fontId="3" fillId="3" borderId="2" pivotButton="0" quotePrefix="0" xfId="0"/>
    <xf numFmtId="0" fontId="5" fillId="0" borderId="2" pivotButton="0" quotePrefix="0" xfId="0"/>
    <xf numFmtId="0" fontId="6" fillId="0" borderId="2" pivotButton="0" quotePrefix="0" xfId="0"/>
    <xf numFmtId="0" fontId="7" fillId="0" borderId="0" pivotButton="0" quotePrefix="0" xfId="0"/>
    <xf numFmtId="0" fontId="3" fillId="0" borderId="1" applyAlignment="1" pivotButton="0" quotePrefix="0" xfId="0">
      <alignment wrapText="1"/>
    </xf>
    <xf numFmtId="0" fontId="8" fillId="0" borderId="3" pivotButton="0" quotePrefix="0" xfId="0"/>
    <xf numFmtId="0" fontId="8" fillId="0" borderId="4" pivotButton="0" quotePrefix="0" xfId="0"/>
    <xf numFmtId="0" fontId="3" fillId="4" borderId="2" applyAlignment="1" pivotButton="0" quotePrefix="0" xfId="0">
      <alignment vertical="bottom"/>
    </xf>
    <xf numFmtId="0" fontId="3" fillId="0" borderId="5" applyAlignment="1" pivotButton="0" quotePrefix="0" xfId="0">
      <alignment horizontal="right" wrapText="1"/>
    </xf>
    <xf numFmtId="0" fontId="3" fillId="4" borderId="4" applyAlignment="1" pivotButton="0" quotePrefix="0" xfId="0">
      <alignment vertical="bottom"/>
    </xf>
    <xf numFmtId="0" fontId="3" fillId="0" borderId="4" pivotButton="0" quotePrefix="0" xfId="0"/>
    <xf numFmtId="0" fontId="9" fillId="0" borderId="4" pivotButton="0" quotePrefix="0" xfId="0"/>
    <xf numFmtId="0" fontId="9" fillId="0" borderId="0" pivotButton="0" quotePrefix="0" xfId="0"/>
    <xf numFmtId="0" fontId="3" fillId="0" borderId="0" pivotButton="0" quotePrefix="0" xfId="0"/>
    <xf numFmtId="0" fontId="3" fillId="2" borderId="0" pivotButton="0" quotePrefix="0" xfId="0"/>
    <xf numFmtId="0" fontId="4" fillId="0" borderId="2" pivotButton="0" quotePrefix="0" xfId="0"/>
    <xf numFmtId="0" fontId="3" fillId="0" borderId="3" applyAlignment="1" pivotButton="0" quotePrefix="0" xfId="0">
      <alignment wrapText="1"/>
    </xf>
    <xf numFmtId="0" fontId="3" fillId="0" borderId="4" applyAlignment="1" pivotButton="0" quotePrefix="0" xfId="0">
      <alignment wrapText="1"/>
    </xf>
    <xf numFmtId="0" fontId="9" fillId="2" borderId="2" pivotButton="0" quotePrefix="0" xfId="0"/>
    <xf numFmtId="0" fontId="8" fillId="0" borderId="2" pivotButton="0" quotePrefix="0" xfId="0"/>
    <xf numFmtId="0" fontId="3" fillId="3" borderId="4" applyAlignment="1" pivotButton="0" quotePrefix="0" xfId="0">
      <alignment horizontal="right"/>
    </xf>
    <xf numFmtId="0" fontId="8" fillId="0" borderId="4" pivotButton="0" quotePrefix="0" xfId="0"/>
    <xf numFmtId="3" fontId="3" fillId="3" borderId="4" applyAlignment="1" pivotButton="0" quotePrefix="0" xfId="0">
      <alignment horizontal="right"/>
    </xf>
    <xf numFmtId="0" fontId="3" fillId="0" borderId="0" applyAlignment="1" pivotButton="0" quotePrefix="0" xfId="0">
      <alignment vertical="bottom"/>
    </xf>
    <xf numFmtId="0" fontId="3" fillId="0" borderId="0" applyAlignment="1" pivotButton="0" quotePrefix="0" xfId="0">
      <alignment wrapText="1"/>
    </xf>
    <xf numFmtId="3" fontId="3" fillId="3" borderId="2" applyAlignment="1" pivotButton="0" quotePrefix="0" xfId="0">
      <alignment horizontal="right"/>
    </xf>
    <xf numFmtId="0" fontId="4" fillId="5" borderId="1" applyAlignment="1" pivotButton="0" quotePrefix="0" xfId="0">
      <alignment horizontal="left" wrapText="1"/>
    </xf>
    <xf numFmtId="0" fontId="3" fillId="5" borderId="2" pivotButton="0" quotePrefix="0" xfId="0"/>
    <xf numFmtId="0" fontId="3" fillId="5" borderId="2" pivotButton="0" quotePrefix="0" xfId="0"/>
    <xf numFmtId="0" fontId="4" fillId="0" borderId="1" applyAlignment="1" pivotButton="0" quotePrefix="0" xfId="0">
      <alignment horizontal="left" wrapText="1"/>
    </xf>
    <xf numFmtId="0" fontId="3" fillId="3" borderId="2" pivotButton="0" quotePrefix="0" xfId="0"/>
    <xf numFmtId="0" fontId="5" fillId="0" borderId="2" pivotButton="0" quotePrefix="0" xfId="0"/>
    <xf numFmtId="0" fontId="3" fillId="0" borderId="0" applyAlignment="1" pivotButton="0" quotePrefix="0" xfId="0">
      <alignment vertical="bottom" wrapText="1"/>
    </xf>
    <xf numFmtId="0" fontId="10" fillId="0" borderId="0" pivotButton="0" quotePrefix="0" xfId="0"/>
    <xf numFmtId="0" fontId="11" fillId="0" borderId="0" applyAlignment="1" pivotButton="0" quotePrefix="0" xfId="0">
      <alignment vertical="bottom"/>
    </xf>
    <xf numFmtId="0" fontId="10" fillId="0" borderId="1" applyAlignment="1" pivotButton="0" quotePrefix="0" xfId="0">
      <alignment horizontal="right" wrapText="1"/>
    </xf>
    <xf numFmtId="0" fontId="11" fillId="3" borderId="1" pivotButton="0" quotePrefix="0" xfId="0"/>
    <xf numFmtId="0" fontId="12" fillId="0" borderId="0" applyAlignment="1" pivotButton="0" quotePrefix="0" xfId="0">
      <alignment vertical="bottom"/>
    </xf>
    <xf numFmtId="0" fontId="11" fillId="0" borderId="0" applyAlignment="1" pivotButton="0" quotePrefix="0" xfId="0">
      <alignment vertical="bottom"/>
    </xf>
    <xf numFmtId="0" fontId="11" fillId="6" borderId="1" pivotButton="0" quotePrefix="0" xfId="0"/>
    <xf numFmtId="0" fontId="13" fillId="0" borderId="0" applyAlignment="1" pivotButton="0" quotePrefix="0" xfId="0">
      <alignment wrapText="1"/>
    </xf>
    <xf numFmtId="0" fontId="14" fillId="2" borderId="6" pivotButton="0" quotePrefix="0" xfId="0"/>
    <xf numFmtId="0" fontId="14" fillId="2" borderId="6" applyAlignment="1" pivotButton="0" quotePrefix="0" xfId="0">
      <alignment horizontal="left" vertical="center"/>
    </xf>
    <xf numFmtId="0" fontId="14" fillId="2" borderId="6" applyAlignment="1" pivotButton="0" quotePrefix="0" xfId="0">
      <alignment wrapText="1"/>
    </xf>
    <xf numFmtId="0" fontId="14" fillId="2" borderId="6" applyAlignment="1" pivotButton="0" quotePrefix="0" xfId="0">
      <alignment horizontal="left" vertical="center"/>
    </xf>
    <xf numFmtId="0" fontId="14" fillId="2" borderId="6" applyAlignment="1" pivotButton="0" quotePrefix="0" xfId="0">
      <alignment wrapText="1"/>
    </xf>
    <xf numFmtId="0" fontId="2" fillId="2" borderId="0" applyAlignment="1" pivotButton="0" quotePrefix="0" xfId="0">
      <alignment vertical="bottom"/>
    </xf>
    <xf numFmtId="0" fontId="15" fillId="7" borderId="7" applyAlignment="1" pivotButton="0" quotePrefix="0" xfId="0">
      <alignment horizontal="center" wrapText="1"/>
    </xf>
    <xf numFmtId="0" fontId="16" fillId="0" borderId="8" pivotButton="0" quotePrefix="0" xfId="0"/>
    <xf numFmtId="0" fontId="16" fillId="0" borderId="9" pivotButton="0" quotePrefix="0" xfId="0"/>
    <xf numFmtId="0" fontId="17" fillId="0" borderId="10" applyAlignment="1" pivotButton="0" quotePrefix="0" xfId="0">
      <alignment horizontal="center" wrapText="1"/>
    </xf>
    <xf numFmtId="0" fontId="16" fillId="0" borderId="11" pivotButton="0" quotePrefix="0" xfId="0"/>
    <xf numFmtId="0" fontId="16" fillId="0" borderId="12" pivotButton="0" quotePrefix="0" xfId="0"/>
    <xf numFmtId="0" fontId="16" fillId="0" borderId="13" pivotButton="0" quotePrefix="0" xfId="0"/>
    <xf numFmtId="0" fontId="14" fillId="7" borderId="14" applyAlignment="1" pivotButton="0" quotePrefix="0" xfId="0">
      <alignment horizontal="center" vertical="bottom" wrapText="1"/>
    </xf>
    <xf numFmtId="0" fontId="18" fillId="0" borderId="15" applyAlignment="1" pivotButton="0" quotePrefix="0" xfId="0">
      <alignment horizontal="center" wrapText="1"/>
    </xf>
    <xf numFmtId="0" fontId="19" fillId="0" borderId="1" applyAlignment="1" pivotButton="0" quotePrefix="0" xfId="0">
      <alignment horizontal="left" vertical="center" wrapText="1"/>
    </xf>
    <xf numFmtId="0" fontId="20" fillId="2" borderId="1" applyAlignment="1" pivotButton="0" quotePrefix="0" xfId="0">
      <alignment vertical="bottom" wrapText="1"/>
    </xf>
    <xf numFmtId="0" fontId="21" fillId="2" borderId="16" applyAlignment="1" pivotButton="0" quotePrefix="0" xfId="0">
      <alignment vertical="bottom" wrapText="1"/>
    </xf>
    <xf numFmtId="0" fontId="20" fillId="2" borderId="1" applyAlignment="1" pivotButton="0" quotePrefix="0" xfId="0">
      <alignment vertical="bottom" wrapText="1"/>
    </xf>
    <xf numFmtId="0" fontId="20" fillId="2" borderId="1" applyAlignment="1" pivotButton="0" quotePrefix="0" xfId="0">
      <alignment vertical="center" wrapText="1"/>
    </xf>
    <xf numFmtId="0" fontId="22" fillId="0" borderId="0" pivotButton="0" quotePrefix="0" xfId="0"/>
    <xf numFmtId="0" fontId="18" fillId="0" borderId="17" applyAlignment="1" pivotButton="0" quotePrefix="0" xfId="0">
      <alignment horizontal="center" wrapText="1"/>
    </xf>
    <xf numFmtId="0" fontId="19" fillId="0" borderId="4" applyAlignment="1" pivotButton="0" quotePrefix="0" xfId="0">
      <alignment horizontal="left" vertical="center" wrapText="1"/>
    </xf>
    <xf numFmtId="0" fontId="23" fillId="0" borderId="4" applyAlignment="1" pivotButton="0" quotePrefix="0" xfId="0">
      <alignment vertical="center" wrapText="1"/>
    </xf>
    <xf numFmtId="0" fontId="24" fillId="2" borderId="18" applyAlignment="1" pivotButton="0" quotePrefix="0" xfId="0">
      <alignment vertical="bottom" wrapText="1"/>
    </xf>
    <xf numFmtId="0" fontId="2" fillId="2" borderId="0" applyAlignment="1" pivotButton="0" quotePrefix="0" xfId="0">
      <alignment vertical="bottom"/>
    </xf>
    <xf numFmtId="0" fontId="16" fillId="0" borderId="19" pivotButton="0" quotePrefix="0" xfId="0"/>
    <xf numFmtId="0" fontId="19" fillId="0" borderId="3" applyAlignment="1" pivotButton="0" quotePrefix="0" xfId="0">
      <alignment horizontal="left" vertical="top" wrapText="1"/>
    </xf>
    <xf numFmtId="0" fontId="16" fillId="0" borderId="3" pivotButton="0" quotePrefix="0" xfId="0"/>
    <xf numFmtId="0" fontId="16" fillId="0" borderId="20" pivotButton="0" quotePrefix="0" xfId="0"/>
    <xf numFmtId="0" fontId="19" fillId="0" borderId="1" applyAlignment="1" pivotButton="0" quotePrefix="0" xfId="0">
      <alignment vertical="bottom" wrapText="1"/>
    </xf>
    <xf numFmtId="0" fontId="20" fillId="2" borderId="1" applyAlignment="1" pivotButton="0" quotePrefix="0" xfId="0">
      <alignment wrapText="1"/>
    </xf>
    <xf numFmtId="0" fontId="19" fillId="0" borderId="1" applyAlignment="1" pivotButton="0" quotePrefix="0" xfId="0">
      <alignment horizontal="left" vertical="center" wrapText="1"/>
    </xf>
    <xf numFmtId="0" fontId="2" fillId="2" borderId="16" applyAlignment="1" pivotButton="0" quotePrefix="0" xfId="0">
      <alignment vertical="bottom" wrapText="1"/>
    </xf>
    <xf numFmtId="0" fontId="18" fillId="2" borderId="15" applyAlignment="1" pivotButton="0" quotePrefix="0" xfId="0">
      <alignment horizontal="center" wrapText="1"/>
    </xf>
    <xf numFmtId="0" fontId="19" fillId="2" borderId="1" applyAlignment="1" pivotButton="0" quotePrefix="0" xfId="0">
      <alignment horizontal="left" vertical="center" wrapText="1"/>
    </xf>
    <xf numFmtId="0" fontId="20" fillId="8" borderId="1" applyAlignment="1" pivotButton="0" quotePrefix="0" xfId="0">
      <alignment vertical="bottom" wrapText="1"/>
    </xf>
    <xf numFmtId="0" fontId="18" fillId="2" borderId="17" applyAlignment="1" pivotButton="0" quotePrefix="0" xfId="0">
      <alignment horizontal="center" wrapText="1"/>
    </xf>
    <xf numFmtId="0" fontId="19" fillId="2" borderId="0" applyAlignment="1" pivotButton="0" quotePrefix="0" xfId="0">
      <alignment horizontal="left" vertical="center" wrapText="1"/>
    </xf>
    <xf numFmtId="0" fontId="16" fillId="0" borderId="21" pivotButton="0" quotePrefix="0" xfId="0"/>
    <xf numFmtId="0" fontId="18" fillId="2" borderId="22" applyAlignment="1" pivotButton="0" quotePrefix="0" xfId="0">
      <alignment horizontal="center" wrapText="1"/>
    </xf>
    <xf numFmtId="0" fontId="19" fillId="2" borderId="23" applyAlignment="1" pivotButton="0" quotePrefix="0" xfId="0">
      <alignment wrapText="1"/>
    </xf>
    <xf numFmtId="0" fontId="16" fillId="0" borderId="24" pivotButton="0" quotePrefix="0" xfId="0"/>
    <xf numFmtId="0" fontId="16" fillId="0" borderId="25" pivotButton="0" quotePrefix="0" xfId="0"/>
    <xf numFmtId="0" fontId="14" fillId="2" borderId="26" applyAlignment="1" pivotButton="0" quotePrefix="0" xfId="0">
      <alignment wrapText="1"/>
    </xf>
    <xf numFmtId="0" fontId="14" fillId="2" borderId="26" pivotButton="0" quotePrefix="0" xfId="0"/>
    <xf numFmtId="0" fontId="14" fillId="2" borderId="26" applyAlignment="1" pivotButton="0" quotePrefix="0" xfId="0">
      <alignment horizontal="left" vertical="center"/>
    </xf>
    <xf numFmtId="0" fontId="14" fillId="9" borderId="6" pivotButton="0" quotePrefix="0" xfId="0"/>
    <xf numFmtId="0" fontId="14" fillId="9" borderId="27" applyAlignment="1" pivotButton="0" quotePrefix="0" xfId="0">
      <alignment horizontal="left" vertical="center"/>
    </xf>
    <xf numFmtId="0" fontId="14" fillId="9" borderId="26" applyAlignment="1" pivotButton="0" quotePrefix="0" xfId="0">
      <alignment wrapText="1"/>
    </xf>
    <xf numFmtId="0" fontId="14" fillId="9" borderId="26" pivotButton="0" quotePrefix="0" xfId="0"/>
    <xf numFmtId="0" fontId="14" fillId="9" borderId="0" pivotButton="0" quotePrefix="0" xfId="0"/>
    <xf numFmtId="0" fontId="22" fillId="9" borderId="0" pivotButton="0" quotePrefix="0" xfId="0"/>
    <xf numFmtId="0" fontId="14" fillId="2" borderId="28" applyAlignment="1" pivotButton="0" quotePrefix="0" xfId="0">
      <alignment horizontal="left" vertical="center"/>
    </xf>
    <xf numFmtId="0" fontId="14" fillId="2" borderId="0" pivotButton="0" quotePrefix="0" xfId="0"/>
    <xf numFmtId="0" fontId="14" fillId="2" borderId="26" applyAlignment="1" pivotButton="0" quotePrefix="0" xfId="0">
      <alignment horizontal="left" vertical="center"/>
    </xf>
    <xf numFmtId="0" fontId="2" fillId="2" borderId="6" applyAlignment="1" pivotButton="0" quotePrefix="0" xfId="0">
      <alignment vertical="bottom"/>
    </xf>
    <xf numFmtId="0" fontId="14" fillId="10" borderId="28" applyAlignment="1" pivotButton="0" quotePrefix="0" xfId="0">
      <alignment horizontal="center" vertical="bottom"/>
    </xf>
    <xf numFmtId="0" fontId="16" fillId="0" borderId="29" pivotButton="0" quotePrefix="0" xfId="0"/>
    <xf numFmtId="0" fontId="16" fillId="0" borderId="30" pivotButton="0" quotePrefix="0" xfId="0"/>
    <xf numFmtId="0" fontId="14" fillId="2" borderId="6" applyAlignment="1" pivotButton="0" quotePrefix="0" xfId="0">
      <alignment horizontal="center"/>
    </xf>
    <xf numFmtId="0" fontId="18" fillId="11" borderId="1" applyAlignment="1" pivotButton="0" quotePrefix="0" xfId="0">
      <alignment horizontal="center" vertical="center" wrapText="1"/>
    </xf>
    <xf numFmtId="0" fontId="18" fillId="11" borderId="1" applyAlignment="1" pivotButton="0" quotePrefix="0" xfId="0">
      <alignment horizontal="center" wrapText="1"/>
    </xf>
    <xf numFmtId="0" fontId="20" fillId="11" borderId="1" applyAlignment="1" pivotButton="0" quotePrefix="0" xfId="0">
      <alignment horizontal="center" wrapText="1"/>
    </xf>
    <xf numFmtId="0" fontId="20" fillId="11" borderId="1" applyAlignment="1" pivotButton="0" quotePrefix="0" xfId="0">
      <alignment horizontal="center" wrapText="1"/>
    </xf>
    <xf numFmtId="0" fontId="14" fillId="2" borderId="30" applyAlignment="1" pivotButton="0" quotePrefix="0" xfId="0">
      <alignment horizontal="center"/>
    </xf>
    <xf numFmtId="0" fontId="22" fillId="0" borderId="0" applyAlignment="1" pivotButton="0" quotePrefix="0" xfId="0">
      <alignment horizontal="center"/>
    </xf>
    <xf numFmtId="0" fontId="18" fillId="2" borderId="1" applyAlignment="1" pivotButton="0" quotePrefix="0" xfId="0">
      <alignment horizontal="left" vertical="center" wrapText="1"/>
    </xf>
    <xf numFmtId="164" fontId="18" fillId="2" borderId="1" applyAlignment="1" pivotButton="0" quotePrefix="0" xfId="0">
      <alignment wrapText="1"/>
    </xf>
    <xf numFmtId="0" fontId="14" fillId="2" borderId="1" pivotButton="0" quotePrefix="0" xfId="0"/>
    <xf numFmtId="0" fontId="14" fillId="2" borderId="1" applyAlignment="1" pivotButton="0" quotePrefix="0" xfId="0">
      <alignment wrapText="1"/>
    </xf>
    <xf numFmtId="0" fontId="14" fillId="2" borderId="30" pivotButton="0" quotePrefix="0" xfId="0"/>
    <xf numFmtId="0" fontId="25" fillId="12" borderId="28" applyAlignment="1" pivotButton="0" quotePrefix="0" xfId="0">
      <alignment horizontal="center" vertical="center"/>
    </xf>
    <xf numFmtId="0" fontId="14" fillId="2" borderId="6" applyAlignment="1" pivotButton="0" quotePrefix="0" xfId="0">
      <alignment vertical="center" wrapText="1"/>
    </xf>
    <xf numFmtId="0" fontId="14" fillId="10" borderId="28" applyAlignment="1" pivotButton="0" quotePrefix="0" xfId="0">
      <alignment horizontal="center" vertical="center"/>
    </xf>
    <xf numFmtId="0" fontId="26" fillId="2" borderId="1" applyAlignment="1" pivotButton="0" quotePrefix="0" xfId="0">
      <alignment vertical="center" wrapText="1"/>
    </xf>
    <xf numFmtId="0" fontId="26" fillId="2" borderId="1" applyAlignment="1" pivotButton="0" quotePrefix="0" xfId="0">
      <alignment wrapText="1"/>
    </xf>
    <xf numFmtId="0" fontId="27" fillId="13" borderId="0" applyAlignment="1" pivotButton="0" quotePrefix="0" xfId="0">
      <alignment vertical="bottom" wrapText="1"/>
    </xf>
    <xf numFmtId="0" fontId="18" fillId="14" borderId="1" applyAlignment="1" pivotButton="0" quotePrefix="0" xfId="0">
      <alignment horizontal="left" vertical="center" wrapText="1"/>
    </xf>
    <xf numFmtId="0" fontId="27" fillId="5" borderId="1" applyAlignment="1" pivotButton="0" quotePrefix="0" xfId="0">
      <alignment vertical="bottom" wrapText="1"/>
    </xf>
    <xf numFmtId="0" fontId="26" fillId="2" borderId="1" applyAlignment="1" pivotButton="0" quotePrefix="0" xfId="0">
      <alignment wrapText="1"/>
    </xf>
    <xf numFmtId="0" fontId="18" fillId="14" borderId="1" applyAlignment="1" pivotButton="0" quotePrefix="0" xfId="0">
      <alignment horizontal="left" vertical="center" wrapText="1"/>
    </xf>
    <xf numFmtId="0" fontId="27" fillId="14" borderId="1" applyAlignment="1" pivotButton="0" quotePrefix="0" xfId="0">
      <alignment vertical="bottom" wrapText="1"/>
    </xf>
    <xf numFmtId="0" fontId="28" fillId="2" borderId="1" applyAlignment="1" pivotButton="0" quotePrefix="0" xfId="0">
      <alignment vertical="bottom" wrapText="1"/>
    </xf>
    <xf numFmtId="0" fontId="18" fillId="15" borderId="1" applyAlignment="1" pivotButton="0" quotePrefix="0" xfId="0">
      <alignment horizontal="left" vertical="center" wrapText="1"/>
    </xf>
    <xf numFmtId="0" fontId="27" fillId="2" borderId="1" applyAlignment="1" pivotButton="0" quotePrefix="0" xfId="0">
      <alignment vertical="bottom" wrapText="1"/>
    </xf>
    <xf numFmtId="0" fontId="18" fillId="15" borderId="31" applyAlignment="1" pivotButton="0" quotePrefix="0" xfId="0">
      <alignment horizontal="left" vertical="center" wrapText="1"/>
    </xf>
    <xf numFmtId="165" fontId="27" fillId="2" borderId="1" applyAlignment="1" pivotButton="0" quotePrefix="0" xfId="0">
      <alignment vertical="bottom" wrapText="1"/>
    </xf>
    <xf numFmtId="0" fontId="29" fillId="2" borderId="32" applyAlignment="1" pivotButton="0" quotePrefix="0" xfId="0">
      <alignment wrapText="1"/>
    </xf>
    <xf numFmtId="0" fontId="18" fillId="15" borderId="33" applyAlignment="1" pivotButton="0" quotePrefix="0" xfId="0">
      <alignment horizontal="left" vertical="center" wrapText="1"/>
    </xf>
    <xf numFmtId="0" fontId="14" fillId="2" borderId="1" applyAlignment="1" pivotButton="0" quotePrefix="0" xfId="0">
      <alignment wrapText="1"/>
    </xf>
    <xf numFmtId="0" fontId="26" fillId="2" borderId="32" applyAlignment="1" pivotButton="0" quotePrefix="0" xfId="0">
      <alignment wrapText="1"/>
    </xf>
    <xf numFmtId="166" fontId="26" fillId="16" borderId="1" applyAlignment="1" pivotButton="0" quotePrefix="0" xfId="0">
      <alignment horizontal="center" vertical="center" wrapText="1"/>
    </xf>
    <xf numFmtId="0" fontId="18" fillId="15" borderId="1" applyAlignment="1" pivotButton="0" quotePrefix="0" xfId="0">
      <alignment horizontal="left" vertical="center" wrapText="1"/>
    </xf>
    <xf numFmtId="0" fontId="27" fillId="2" borderId="1" applyAlignment="1" pivotButton="0" quotePrefix="0" xfId="0">
      <alignment vertical="bottom" wrapText="1"/>
    </xf>
    <xf numFmtId="0" fontId="18" fillId="0" borderId="1" applyAlignment="1" pivotButton="0" quotePrefix="0" xfId="0">
      <alignment horizontal="left" vertical="center" wrapText="1"/>
    </xf>
    <xf numFmtId="49" fontId="27" fillId="5" borderId="1" applyAlignment="1" pivotButton="0" quotePrefix="0" xfId="0">
      <alignment vertical="bottom" wrapText="1"/>
    </xf>
    <xf numFmtId="0" fontId="26" fillId="2" borderId="1" applyAlignment="1" pivotButton="0" quotePrefix="0" xfId="0">
      <alignment wrapText="1"/>
    </xf>
    <xf numFmtId="0" fontId="18" fillId="0" borderId="34" applyAlignment="1" pivotButton="0" quotePrefix="0" xfId="0">
      <alignment vertical="bottom" wrapText="1"/>
    </xf>
    <xf numFmtId="167" fontId="2" fillId="5" borderId="1" applyAlignment="1" pivotButton="0" quotePrefix="0" xfId="0">
      <alignment vertical="bottom" wrapText="1"/>
    </xf>
    <xf numFmtId="0" fontId="2" fillId="0" borderId="0" applyAlignment="1" pivotButton="0" quotePrefix="0" xfId="0">
      <alignment vertical="bottom"/>
    </xf>
    <xf numFmtId="0" fontId="2" fillId="2" borderId="1" applyAlignment="1" pivotButton="0" quotePrefix="0" xfId="0">
      <alignment vertical="bottom" wrapText="1"/>
    </xf>
    <xf numFmtId="0" fontId="2" fillId="2" borderId="30" applyAlignment="1" pivotButton="0" quotePrefix="0" xfId="0">
      <alignment vertical="bottom"/>
    </xf>
    <xf numFmtId="0" fontId="18" fillId="0" borderId="34" applyAlignment="1" pivotButton="0" quotePrefix="0" xfId="0">
      <alignment horizontal="left" vertical="center" wrapText="1"/>
    </xf>
    <xf numFmtId="0" fontId="22" fillId="0" borderId="0" applyAlignment="1" pivotButton="0" quotePrefix="0" xfId="0">
      <alignment vertical="center" wrapText="1"/>
    </xf>
    <xf numFmtId="0" fontId="14" fillId="0" borderId="1" applyAlignment="1" pivotButton="0" quotePrefix="0" xfId="0">
      <alignment wrapText="1"/>
    </xf>
    <xf numFmtId="0" fontId="2" fillId="0" borderId="1" applyAlignment="1" pivotButton="0" quotePrefix="0" xfId="0">
      <alignment vertical="bottom" wrapText="1"/>
    </xf>
    <xf numFmtId="0" fontId="18" fillId="15" borderId="34" applyAlignment="1" pivotButton="0" quotePrefix="0" xfId="0">
      <alignment horizontal="left" vertical="center" wrapText="1"/>
    </xf>
    <xf numFmtId="167" fontId="27" fillId="2" borderId="1" applyAlignment="1" pivotButton="0" quotePrefix="0" xfId="0">
      <alignment vertical="bottom" wrapText="1"/>
    </xf>
    <xf numFmtId="0" fontId="14" fillId="15" borderId="1" applyAlignment="1" pivotButton="0" quotePrefix="0" xfId="0">
      <alignment wrapText="1"/>
    </xf>
    <xf numFmtId="0" fontId="30" fillId="0" borderId="0" applyAlignment="1" pivotButton="0" quotePrefix="0" xfId="0">
      <alignment vertical="center" wrapText="1"/>
    </xf>
    <xf numFmtId="0" fontId="27" fillId="0" borderId="1" applyAlignment="1" pivotButton="0" quotePrefix="0" xfId="0">
      <alignment vertical="bottom" wrapText="1"/>
    </xf>
    <xf numFmtId="0" fontId="31" fillId="2" borderId="35" applyAlignment="1" pivotButton="0" quotePrefix="0" xfId="0">
      <alignment wrapText="1"/>
    </xf>
    <xf numFmtId="0" fontId="22" fillId="0" borderId="1" pivotButton="0" quotePrefix="0" xfId="0"/>
    <xf numFmtId="0" fontId="22" fillId="0" borderId="1" applyAlignment="1" pivotButton="0" quotePrefix="0" xfId="0">
      <alignment wrapText="1"/>
    </xf>
    <xf numFmtId="0" fontId="32" fillId="0" borderId="1" pivotButton="0" quotePrefix="0" xfId="0"/>
    <xf numFmtId="0" fontId="33" fillId="2" borderId="36" applyAlignment="1" pivotButton="0" quotePrefix="0" xfId="0">
      <alignment wrapText="1"/>
    </xf>
    <xf numFmtId="0" fontId="34" fillId="2" borderId="1" applyAlignment="1" pivotButton="0" quotePrefix="0" xfId="0">
      <alignment wrapText="1"/>
    </xf>
    <xf numFmtId="0" fontId="18" fillId="17" borderId="1" applyAlignment="1" pivotButton="0" quotePrefix="0" xfId="0">
      <alignment vertical="bottom" wrapText="1"/>
    </xf>
    <xf numFmtId="0" fontId="2" fillId="17" borderId="1" applyAlignment="1" pivotButton="0" quotePrefix="0" xfId="0">
      <alignment vertical="bottom"/>
    </xf>
    <xf numFmtId="0" fontId="14" fillId="17" borderId="1" applyAlignment="1" pivotButton="0" quotePrefix="0" xfId="0">
      <alignment vertical="bottom" wrapText="1"/>
    </xf>
    <xf numFmtId="0" fontId="26" fillId="2" borderId="1" applyAlignment="1" pivotButton="0" quotePrefix="0" xfId="0">
      <alignment wrapText="1"/>
    </xf>
    <xf numFmtId="0" fontId="14" fillId="0" borderId="1" applyAlignment="1" pivotButton="0" quotePrefix="0" xfId="0">
      <alignment wrapText="1"/>
    </xf>
    <xf numFmtId="0" fontId="6" fillId="0" borderId="1" applyAlignment="1" pivotButton="0" quotePrefix="0" xfId="0">
      <alignment horizontal="left" wrapText="1"/>
    </xf>
    <xf numFmtId="3" fontId="27" fillId="5" borderId="1" applyAlignment="1" pivotButton="0" quotePrefix="0" xfId="0">
      <alignment vertical="bottom" wrapText="1"/>
    </xf>
    <xf numFmtId="0" fontId="18" fillId="3" borderId="0" pivotButton="0" quotePrefix="0" xfId="0"/>
    <xf numFmtId="0" fontId="18" fillId="3" borderId="0" applyAlignment="1" pivotButton="0" quotePrefix="0" xfId="0">
      <alignment wrapText="1"/>
    </xf>
    <xf numFmtId="0" fontId="14" fillId="3" borderId="0" applyAlignment="1" pivotButton="0" quotePrefix="0" xfId="0">
      <alignment wrapText="1"/>
    </xf>
    <xf numFmtId="0" fontId="14" fillId="2" borderId="27" pivotButton="0" quotePrefix="0" xfId="0"/>
    <xf numFmtId="0" fontId="18" fillId="18" borderId="1" applyAlignment="1" pivotButton="0" quotePrefix="0" xfId="0">
      <alignment horizontal="left" vertical="center" wrapText="1"/>
    </xf>
    <xf numFmtId="0" fontId="14" fillId="2" borderId="37" pivotButton="0" quotePrefix="0" xfId="0"/>
    <xf numFmtId="0" fontId="14" fillId="2" borderId="28" pivotButton="0" quotePrefix="0" xfId="0"/>
    <xf numFmtId="0" fontId="14" fillId="2" borderId="38" pivotButton="0" quotePrefix="0" xfId="0"/>
    <xf numFmtId="0" fontId="14" fillId="0" borderId="30" pivotButton="0" quotePrefix="0" xfId="0"/>
    <xf numFmtId="0" fontId="14" fillId="2" borderId="38" pivotButton="0" quotePrefix="0" xfId="0"/>
    <xf numFmtId="0" fontId="18" fillId="18" borderId="1" applyAlignment="1" pivotButton="0" quotePrefix="0" xfId="0">
      <alignment horizontal="left" vertical="center" wrapText="1"/>
    </xf>
    <xf numFmtId="0" fontId="27" fillId="5" borderId="1" applyAlignment="1" pivotButton="0" quotePrefix="0" xfId="0">
      <alignment vertical="bottom" wrapText="1"/>
    </xf>
    <xf numFmtId="0" fontId="18" fillId="0" borderId="1" applyAlignment="1" pivotButton="0" quotePrefix="0" xfId="0">
      <alignment wrapText="1"/>
    </xf>
    <xf numFmtId="0" fontId="27" fillId="0" borderId="1" applyAlignment="1" pivotButton="0" quotePrefix="0" xfId="0">
      <alignment vertical="bottom" wrapText="1"/>
    </xf>
    <xf numFmtId="0" fontId="28" fillId="2" borderId="1" applyAlignment="1" pivotButton="0" quotePrefix="0" xfId="0">
      <alignment wrapText="1"/>
    </xf>
    <xf numFmtId="0" fontId="3" fillId="5" borderId="1" applyAlignment="1" pivotButton="0" quotePrefix="0" xfId="0">
      <alignment horizontal="right" wrapText="1"/>
    </xf>
    <xf numFmtId="0" fontId="26" fillId="5" borderId="1" applyAlignment="1" pivotButton="0" quotePrefix="0" xfId="0">
      <alignment wrapText="1"/>
    </xf>
    <xf numFmtId="0" fontId="14" fillId="5" borderId="1" applyAlignment="1" pivotButton="0" quotePrefix="0" xfId="0">
      <alignment wrapText="1"/>
    </xf>
    <xf numFmtId="0" fontId="3" fillId="5" borderId="5" applyAlignment="1" pivotButton="0" quotePrefix="0" xfId="0">
      <alignment horizontal="right" wrapText="1"/>
    </xf>
    <xf numFmtId="0" fontId="18" fillId="0" borderId="2" applyAlignment="1" pivotButton="0" quotePrefix="0" xfId="0">
      <alignment vertical="bottom" wrapText="1"/>
    </xf>
    <xf numFmtId="0" fontId="18" fillId="15" borderId="5" applyAlignment="1" pivotButton="0" quotePrefix="0" xfId="0">
      <alignment horizontal="left" vertical="center" wrapText="1"/>
    </xf>
    <xf numFmtId="0" fontId="18" fillId="0" borderId="4" applyAlignment="1" pivotButton="0" quotePrefix="0" xfId="0">
      <alignment vertical="bottom" wrapText="1"/>
    </xf>
    <xf numFmtId="0" fontId="18" fillId="0" borderId="1" applyAlignment="1" pivotButton="0" quotePrefix="0" xfId="0">
      <alignment vertical="bottom" wrapText="1"/>
    </xf>
    <xf numFmtId="0" fontId="35" fillId="2" borderId="1" applyAlignment="1" pivotButton="0" quotePrefix="0" xfId="0">
      <alignment wrapText="1"/>
    </xf>
    <xf numFmtId="0" fontId="6" fillId="5" borderId="1" applyAlignment="1" pivotButton="0" quotePrefix="0" xfId="0">
      <alignment horizontal="left" wrapText="1"/>
    </xf>
    <xf numFmtId="0" fontId="36" fillId="5" borderId="1" applyAlignment="1" pivotButton="0" quotePrefix="0" xfId="0">
      <alignment wrapText="1"/>
    </xf>
    <xf numFmtId="0" fontId="14" fillId="2" borderId="6" applyAlignment="1" pivotButton="0" quotePrefix="0" xfId="0">
      <alignment vertical="center"/>
    </xf>
    <xf numFmtId="0" fontId="14" fillId="0" borderId="6" pivotButton="0" quotePrefix="0" xfId="0"/>
    <xf numFmtId="0" fontId="25" fillId="19" borderId="28" applyAlignment="1" pivotButton="0" quotePrefix="0" xfId="0">
      <alignment horizontal="center" vertical="center"/>
    </xf>
    <xf numFmtId="0" fontId="14" fillId="3" borderId="0" applyAlignment="1" pivotButton="0" quotePrefix="0" xfId="0">
      <alignment wrapText="1"/>
    </xf>
    <xf numFmtId="0" fontId="27" fillId="2" borderId="1" applyAlignment="1" pivotButton="0" quotePrefix="0" xfId="0">
      <alignment vertical="bottom" wrapText="1"/>
    </xf>
    <xf numFmtId="0" fontId="37" fillId="2" borderId="1" applyAlignment="1" pivotButton="0" quotePrefix="0" xfId="0">
      <alignment wrapText="1"/>
    </xf>
    <xf numFmtId="0" fontId="34" fillId="2" borderId="1" applyAlignment="1" pivotButton="0" quotePrefix="0" xfId="0">
      <alignment wrapText="1"/>
    </xf>
    <xf numFmtId="164" fontId="27" fillId="0" borderId="1" applyAlignment="1" pivotButton="0" quotePrefix="0" xfId="0">
      <alignment vertical="bottom" wrapText="1"/>
    </xf>
    <xf numFmtId="0" fontId="14" fillId="0" borderId="1" pivotButton="0" quotePrefix="0" xfId="0"/>
    <xf numFmtId="3" fontId="27" fillId="5" borderId="1" applyAlignment="1" pivotButton="0" quotePrefix="0" xfId="0">
      <alignment vertical="bottom" wrapText="1"/>
    </xf>
    <xf numFmtId="0" fontId="18" fillId="0" borderId="1" applyAlignment="1" pivotButton="0" quotePrefix="0" xfId="0">
      <alignment horizontal="left" vertical="center" wrapText="1"/>
    </xf>
    <xf numFmtId="168" fontId="14" fillId="20" borderId="1" applyAlignment="1" pivotButton="0" quotePrefix="0" xfId="0">
      <alignment wrapText="1"/>
    </xf>
    <xf numFmtId="0" fontId="38" fillId="0" borderId="32" applyAlignment="1" pivotButton="0" quotePrefix="0" xfId="0">
      <alignment vertical="center"/>
    </xf>
    <xf numFmtId="0" fontId="16" fillId="0" borderId="39" pivotButton="0" quotePrefix="0" xfId="0"/>
    <xf numFmtId="0" fontId="16" fillId="0" borderId="5" pivotButton="0" quotePrefix="0" xfId="0"/>
    <xf numFmtId="164" fontId="18" fillId="0" borderId="1" applyAlignment="1" pivotButton="0" quotePrefix="0" xfId="0">
      <alignment wrapText="1"/>
    </xf>
    <xf numFmtId="0" fontId="34" fillId="0" borderId="1" applyAlignment="1" pivotButton="0" quotePrefix="0" xfId="0">
      <alignment wrapText="1"/>
    </xf>
    <xf numFmtId="164" fontId="18" fillId="0" borderId="2" applyAlignment="1" pivotButton="0" quotePrefix="0" xfId="0">
      <alignment wrapText="1"/>
    </xf>
    <xf numFmtId="0" fontId="14" fillId="0" borderId="2" pivotButton="0" quotePrefix="0" xfId="0"/>
    <xf numFmtId="0" fontId="26" fillId="0" borderId="1" applyAlignment="1" pivotButton="0" quotePrefix="0" xfId="0">
      <alignment wrapText="1"/>
    </xf>
    <xf numFmtId="0" fontId="18" fillId="15" borderId="1" applyAlignment="1" pivotButton="0" quotePrefix="0" xfId="0">
      <alignment vertical="bottom" wrapText="1"/>
    </xf>
    <xf numFmtId="164" fontId="18" fillId="2" borderId="2" applyAlignment="1" pivotButton="0" quotePrefix="0" xfId="0">
      <alignment vertical="bottom" wrapText="1"/>
    </xf>
    <xf numFmtId="0" fontId="14" fillId="0" borderId="2" pivotButton="0" quotePrefix="0" xfId="0"/>
    <xf numFmtId="164" fontId="18" fillId="0" borderId="1" applyAlignment="1" pivotButton="0" quotePrefix="0" xfId="0">
      <alignment vertical="bottom" wrapText="1"/>
    </xf>
    <xf numFmtId="0" fontId="38" fillId="0" borderId="2" applyAlignment="1" pivotButton="0" quotePrefix="0" xfId="0">
      <alignment vertical="bottom"/>
    </xf>
    <xf numFmtId="164" fontId="18" fillId="0" borderId="1" applyAlignment="1" pivotButton="0" quotePrefix="0" xfId="0">
      <alignment vertical="center" wrapText="1"/>
    </xf>
    <xf numFmtId="0" fontId="18" fillId="2" borderId="0" applyAlignment="1" pivotButton="0" quotePrefix="0" xfId="0">
      <alignment horizontal="left" vertical="center"/>
    </xf>
    <xf numFmtId="49" fontId="18" fillId="2" borderId="0" applyAlignment="1" pivotButton="0" quotePrefix="0" xfId="0">
      <alignment wrapText="1"/>
    </xf>
    <xf numFmtId="0" fontId="14" fillId="2" borderId="0" applyAlignment="1" pivotButton="0" quotePrefix="0" xfId="0">
      <alignment wrapText="1"/>
    </xf>
    <xf numFmtId="0" fontId="18" fillId="2" borderId="0" applyAlignment="1" pivotButton="0" quotePrefix="0" xfId="0">
      <alignment horizontal="left" vertical="center" wrapText="1"/>
    </xf>
    <xf numFmtId="0" fontId="38" fillId="2" borderId="0" applyAlignment="1" pivotButton="0" quotePrefix="0" xfId="0">
      <alignment vertical="center"/>
    </xf>
    <xf numFmtId="0" fontId="14" fillId="2" borderId="0" applyAlignment="1" pivotButton="0" quotePrefix="0" xfId="0">
      <alignment horizontal="left" vertical="center"/>
    </xf>
    <xf numFmtId="0" fontId="14" fillId="2" borderId="28" applyAlignment="1" pivotButton="0" quotePrefix="0" xfId="0">
      <alignment wrapText="1"/>
    </xf>
    <xf numFmtId="0" fontId="14" fillId="2" borderId="6" applyAlignment="1" pivotButton="0" quotePrefix="0" xfId="0">
      <alignment vertical="center"/>
    </xf>
    <xf numFmtId="0" fontId="20" fillId="21" borderId="1" applyAlignment="1" pivotButton="0" quotePrefix="0" xfId="0">
      <alignment horizontal="left" vertical="center" wrapText="1"/>
    </xf>
    <xf numFmtId="164" fontId="20" fillId="21" borderId="2" applyAlignment="1" pivotButton="0" quotePrefix="0" xfId="0">
      <alignment wrapText="1"/>
    </xf>
    <xf numFmtId="0" fontId="20" fillId="21" borderId="2" pivotButton="0" quotePrefix="0" xfId="0"/>
    <xf numFmtId="0" fontId="14" fillId="21" borderId="1" applyAlignment="1" pivotButton="0" quotePrefix="0" xfId="0">
      <alignment wrapText="1"/>
    </xf>
    <xf numFmtId="0" fontId="14" fillId="2" borderId="0" applyAlignment="1" pivotButton="0" quotePrefix="0" xfId="0">
      <alignment horizontal="left" vertical="center"/>
    </xf>
    <xf numFmtId="164" fontId="18" fillId="2" borderId="2" applyAlignment="1" pivotButton="0" quotePrefix="0" xfId="0">
      <alignment wrapText="1"/>
    </xf>
    <xf numFmtId="0" fontId="39" fillId="2" borderId="6" applyAlignment="1" pivotButton="0" quotePrefix="0" xfId="0">
      <alignment horizontal="right"/>
    </xf>
    <xf numFmtId="0" fontId="20" fillId="2" borderId="0" applyAlignment="1" pivotButton="0" quotePrefix="0" xfId="0">
      <alignment horizontal="left" vertical="center" wrapText="1"/>
    </xf>
    <xf numFmtId="164" fontId="14" fillId="0" borderId="2" applyAlignment="1" pivotButton="0" quotePrefix="0" xfId="0">
      <alignment wrapText="1"/>
    </xf>
    <xf numFmtId="0" fontId="40" fillId="0" borderId="2" pivotButton="0" quotePrefix="0" xfId="0"/>
    <xf numFmtId="49" fontId="14" fillId="5" borderId="1" applyAlignment="1" pivotButton="0" quotePrefix="0" xfId="0">
      <alignment wrapText="1"/>
    </xf>
    <xf numFmtId="0" fontId="18" fillId="2" borderId="1" applyAlignment="1" pivotButton="0" quotePrefix="0" xfId="0">
      <alignment horizontal="left" vertical="center" wrapText="1"/>
    </xf>
    <xf numFmtId="38" fontId="18" fillId="20" borderId="1" applyAlignment="1" pivotButton="0" quotePrefix="0" xfId="0">
      <alignment wrapText="1"/>
    </xf>
    <xf numFmtId="0" fontId="28" fillId="2" borderId="1" applyAlignment="1" pivotButton="0" quotePrefix="0" xfId="0">
      <alignment horizontal="left" vertical="center" wrapText="1"/>
    </xf>
    <xf numFmtId="0" fontId="28" fillId="2" borderId="32" applyAlignment="1" pivotButton="0" quotePrefix="0" xfId="0">
      <alignment horizontal="left" vertical="center" wrapText="1"/>
    </xf>
    <xf numFmtId="0" fontId="14" fillId="2" borderId="40" pivotButton="0" quotePrefix="0" xfId="0"/>
    <xf numFmtId="0" fontId="14" fillId="2" borderId="41" pivotButton="0" quotePrefix="0" xfId="0"/>
    <xf numFmtId="0" fontId="14" fillId="2" borderId="0" applyAlignment="1" pivotButton="0" quotePrefix="0" xfId="0">
      <alignment vertical="top"/>
    </xf>
    <xf numFmtId="0" fontId="18" fillId="2" borderId="0" applyAlignment="1" pivotButton="0" quotePrefix="0" xfId="0">
      <alignment horizontal="left" vertical="top"/>
    </xf>
    <xf numFmtId="49" fontId="18" fillId="2" borderId="0" applyAlignment="1" pivotButton="0" quotePrefix="0" xfId="0">
      <alignment vertical="top" wrapText="1"/>
    </xf>
    <xf numFmtId="0" fontId="37" fillId="2" borderId="0" applyAlignment="1" pivotButton="0" quotePrefix="0" xfId="0">
      <alignment vertical="top" wrapText="1"/>
    </xf>
    <xf numFmtId="0" fontId="14" fillId="2" borderId="0" applyAlignment="1" pivotButton="0" quotePrefix="0" xfId="0">
      <alignment vertical="top" wrapText="1"/>
    </xf>
    <xf numFmtId="0" fontId="22" fillId="0" borderId="0" applyAlignment="1" pivotButton="0" quotePrefix="0" xfId="0">
      <alignment vertical="top"/>
    </xf>
    <xf numFmtId="0" fontId="2" fillId="2" borderId="27" applyAlignment="1" pivotButton="0" quotePrefix="0" xfId="0">
      <alignment vertical="bottom"/>
    </xf>
    <xf numFmtId="0" fontId="41" fillId="3" borderId="1" applyAlignment="1" pivotButton="0" quotePrefix="0" xfId="0">
      <alignment vertical="bottom" wrapText="1"/>
    </xf>
    <xf numFmtId="49" fontId="41" fillId="3" borderId="1" applyAlignment="1" pivotButton="0" quotePrefix="0" xfId="0">
      <alignment vertical="bottom" wrapText="1"/>
    </xf>
    <xf numFmtId="0" fontId="2" fillId="3" borderId="1" applyAlignment="1" pivotButton="0" quotePrefix="0" xfId="0">
      <alignment vertical="bottom"/>
    </xf>
    <xf numFmtId="0" fontId="2" fillId="3" borderId="1" applyAlignment="1" pivotButton="0" quotePrefix="0" xfId="0">
      <alignment vertical="bottom" wrapText="1"/>
    </xf>
    <xf numFmtId="0" fontId="2" fillId="2" borderId="37" applyAlignment="1" pivotButton="0" quotePrefix="0" xfId="0">
      <alignment vertical="bottom"/>
    </xf>
    <xf numFmtId="49" fontId="18" fillId="2" borderId="1" applyAlignment="1" pivotButton="0" quotePrefix="0" xfId="0">
      <alignment wrapText="1"/>
    </xf>
    <xf numFmtId="49" fontId="18" fillId="5" borderId="1" applyAlignment="1" pivotButton="0" quotePrefix="0" xfId="0">
      <alignment wrapText="1"/>
    </xf>
    <xf numFmtId="169" fontId="26" fillId="16" borderId="1" applyAlignment="1" pivotButton="0" quotePrefix="0" xfId="0">
      <alignment horizontal="center" vertical="center" wrapText="1"/>
    </xf>
    <xf numFmtId="49" fontId="18" fillId="5" borderId="1" applyAlignment="1" pivotButton="0" quotePrefix="0" xfId="0">
      <alignment wrapText="1"/>
    </xf>
    <xf numFmtId="0" fontId="6" fillId="0" borderId="1" pivotButton="0" quotePrefix="0" xfId="0"/>
    <xf numFmtId="0" fontId="6" fillId="0" borderId="5" pivotButton="0" quotePrefix="0" xfId="0"/>
    <xf numFmtId="0" fontId="6" fillId="0" borderId="5" applyAlignment="1" pivotButton="0" quotePrefix="0" xfId="0">
      <alignment wrapText="1"/>
    </xf>
    <xf numFmtId="0" fontId="2" fillId="2" borderId="0" pivotButton="0" quotePrefix="0" xfId="0"/>
    <xf numFmtId="0" fontId="2" fillId="2" borderId="0" pivotButton="0" quotePrefix="0" xfId="0"/>
    <xf numFmtId="49" fontId="18" fillId="2" borderId="1" applyAlignment="1" pivotButton="0" quotePrefix="0" xfId="0">
      <alignment vertical="center" wrapText="1"/>
    </xf>
    <xf numFmtId="0" fontId="2" fillId="2" borderId="6" pivotButton="0" quotePrefix="0" xfId="0"/>
    <xf numFmtId="0" fontId="14" fillId="5" borderId="28" applyAlignment="1" pivotButton="0" quotePrefix="0" xfId="0">
      <alignment horizontal="center" vertical="bottom"/>
    </xf>
    <xf numFmtId="0" fontId="14" fillId="0" borderId="28" applyAlignment="1" pivotButton="0" quotePrefix="0" xfId="0">
      <alignment vertical="bottom"/>
    </xf>
    <xf numFmtId="0" fontId="2" fillId="2" borderId="28" applyAlignment="1" pivotButton="0" quotePrefix="0" xfId="0">
      <alignment vertical="bottom"/>
    </xf>
    <xf numFmtId="0" fontId="14" fillId="0" borderId="1" applyAlignment="1" pivotButton="0" quotePrefix="0" xfId="0">
      <alignment vertical="bottom" wrapText="1"/>
    </xf>
    <xf numFmtId="49" fontId="18" fillId="2" borderId="1" applyAlignment="1" pivotButton="0" quotePrefix="0" xfId="0">
      <alignment vertical="center" wrapText="1"/>
    </xf>
    <xf numFmtId="0" fontId="2" fillId="2" borderId="1" applyAlignment="1" pivotButton="0" quotePrefix="0" xfId="0">
      <alignment vertical="bottom"/>
    </xf>
    <xf numFmtId="0" fontId="2" fillId="0" borderId="6" applyAlignment="1" pivotButton="0" quotePrefix="0" xfId="0">
      <alignment vertical="bottom"/>
    </xf>
    <xf numFmtId="0" fontId="14" fillId="2" borderId="6" applyAlignment="1" pivotButton="0" quotePrefix="0" xfId="0">
      <alignment vertical="bottom"/>
    </xf>
    <xf numFmtId="0" fontId="42" fillId="2" borderId="6" applyAlignment="1" pivotButton="0" quotePrefix="0" xfId="0">
      <alignment vertical="center"/>
    </xf>
    <xf numFmtId="0" fontId="2" fillId="3" borderId="6" applyAlignment="1" pivotButton="0" quotePrefix="0" xfId="0">
      <alignment vertical="bottom"/>
    </xf>
    <xf numFmtId="0" fontId="43" fillId="2" borderId="6" applyAlignment="1" pivotButton="0" quotePrefix="0" xfId="0">
      <alignment vertical="bottom"/>
    </xf>
    <xf numFmtId="0" fontId="25" fillId="12" borderId="28" applyAlignment="1" pivotButton="0" quotePrefix="0" xfId="0">
      <alignment horizontal="center"/>
    </xf>
    <xf numFmtId="49" fontId="2" fillId="2" borderId="0" applyAlignment="1" pivotButton="0" quotePrefix="0" xfId="0">
      <alignment vertical="bottom"/>
    </xf>
    <xf numFmtId="0" fontId="14" fillId="5" borderId="28" applyAlignment="1" pivotButton="0" quotePrefix="0" xfId="0">
      <alignment horizontal="center" vertical="bottom"/>
    </xf>
    <xf numFmtId="0" fontId="14" fillId="0" borderId="28" applyAlignment="1" pivotButton="0" quotePrefix="0" xfId="0">
      <alignment vertical="bottom"/>
    </xf>
    <xf numFmtId="0" fontId="14" fillId="0" borderId="1" applyAlignment="1" pivotButton="0" quotePrefix="0" xfId="0">
      <alignment vertical="bottom" wrapText="1"/>
    </xf>
    <xf numFmtId="0" fontId="14" fillId="2" borderId="6" applyAlignment="1" pivotButton="0" quotePrefix="0" xfId="0">
      <alignment vertical="bottom"/>
    </xf>
    <xf numFmtId="164" fontId="2" fillId="2" borderId="6" applyAlignment="1" pivotButton="0" quotePrefix="0" xfId="0">
      <alignment vertical="bottom"/>
    </xf>
    <xf numFmtId="0" fontId="44" fillId="0" borderId="0" applyAlignment="1" pivotButton="0" quotePrefix="0" xfId="0">
      <alignment vertical="center"/>
    </xf>
    <xf numFmtId="0" fontId="45" fillId="0" borderId="0" applyAlignment="1" pivotButton="0" quotePrefix="0" xfId="0">
      <alignment vertical="bottom"/>
    </xf>
    <xf numFmtId="0" fontId="46" fillId="0" borderId="0" applyAlignment="1" pivotButton="0" quotePrefix="0" xfId="0">
      <alignment vertical="center"/>
    </xf>
    <xf numFmtId="0" fontId="47" fillId="0" borderId="0" applyAlignment="1" pivotButton="0" quotePrefix="0" xfId="0">
      <alignment vertical="bottom"/>
    </xf>
    <xf numFmtId="0" fontId="48" fillId="0" borderId="0" pivotButton="0" quotePrefix="0" xfId="0"/>
    <xf numFmtId="0" fontId="48" fillId="0" borderId="0" pivotButton="0" quotePrefix="0" xfId="0"/>
    <xf numFmtId="0" fontId="49" fillId="22" borderId="42" applyAlignment="1" pivotButton="0" quotePrefix="0" xfId="0">
      <alignment horizontal="center" vertical="bottom"/>
    </xf>
    <xf numFmtId="0" fontId="36" fillId="22" borderId="42" applyAlignment="1" pivotButton="0" quotePrefix="0" xfId="0">
      <alignment horizontal="center" vertical="center"/>
    </xf>
    <xf numFmtId="0" fontId="45" fillId="0" borderId="0" applyAlignment="1" pivotButton="0" quotePrefix="0" xfId="0">
      <alignment vertical="bottom"/>
    </xf>
    <xf numFmtId="0" fontId="2" fillId="22" borderId="42" applyAlignment="1" pivotButton="0" quotePrefix="0" xfId="0">
      <alignment vertical="bottom"/>
    </xf>
    <xf numFmtId="0" fontId="50" fillId="22" borderId="42" applyAlignment="1" pivotButton="0" quotePrefix="0" xfId="0">
      <alignment horizontal="center" vertical="bottom"/>
    </xf>
    <xf numFmtId="0" fontId="51" fillId="0" borderId="0" applyAlignment="1" pivotButton="0" quotePrefix="0" xfId="0">
      <alignment vertical="bottom"/>
    </xf>
    <xf numFmtId="0" fontId="52" fillId="0" borderId="0" applyAlignment="1" pivotButton="0" quotePrefix="0" xfId="0">
      <alignment vertical="bottom"/>
    </xf>
    <xf numFmtId="0" fontId="36" fillId="0" borderId="5" applyAlignment="1" pivotButton="0" quotePrefix="0" xfId="0">
      <alignment horizontal="center" vertical="bottom"/>
    </xf>
    <xf numFmtId="3" fontId="2" fillId="5" borderId="5" applyAlignment="1" pivotButton="0" quotePrefix="0" xfId="0">
      <alignment vertical="bottom"/>
    </xf>
    <xf numFmtId="0" fontId="36" fillId="0" borderId="0" applyAlignment="1" pivotButton="0" quotePrefix="0" xfId="0">
      <alignment vertical="bottom"/>
    </xf>
    <xf numFmtId="0" fontId="50" fillId="0" borderId="5" applyAlignment="1" pivotButton="0" quotePrefix="0" xfId="0">
      <alignment horizontal="center" vertical="bottom"/>
    </xf>
    <xf numFmtId="3" fontId="2" fillId="15" borderId="5" applyAlignment="1" pivotButton="0" quotePrefix="0" xfId="0">
      <alignment vertical="bottom"/>
    </xf>
    <xf numFmtId="0" fontId="52" fillId="23" borderId="0" applyAlignment="1" pivotButton="0" quotePrefix="0" xfId="0">
      <alignment vertical="bottom"/>
    </xf>
    <xf numFmtId="0" fontId="36" fillId="0" borderId="1" applyAlignment="1" pivotButton="0" quotePrefix="0" xfId="0">
      <alignment horizontal="center" vertical="bottom"/>
    </xf>
    <xf numFmtId="0" fontId="50" fillId="0" borderId="1" applyAlignment="1" pivotButton="0" quotePrefix="0" xfId="0">
      <alignment horizontal="center" vertical="bottom"/>
    </xf>
    <xf numFmtId="0" fontId="2" fillId="0" borderId="1" applyAlignment="1" pivotButton="0" quotePrefix="0" xfId="0">
      <alignment vertical="bottom"/>
    </xf>
    <xf numFmtId="3" fontId="2" fillId="5" borderId="5" applyAlignment="1" pivotButton="0" quotePrefix="0" xfId="0">
      <alignment vertical="bottom"/>
    </xf>
    <xf numFmtId="0" fontId="27" fillId="0" borderId="1" applyAlignment="1" pivotButton="0" quotePrefix="0" xfId="0">
      <alignment horizontal="center" vertical="bottom"/>
    </xf>
    <xf numFmtId="3" fontId="2" fillId="15" borderId="5" applyAlignment="1" pivotButton="0" quotePrefix="0" xfId="0">
      <alignment vertical="bottom"/>
    </xf>
    <xf numFmtId="0" fontId="53" fillId="0" borderId="1" applyAlignment="1" pivotButton="0" quotePrefix="0" xfId="0">
      <alignment horizontal="center" vertical="bottom"/>
    </xf>
    <xf numFmtId="3" fontId="50" fillId="22" borderId="1" applyAlignment="1" pivotButton="0" quotePrefix="0" xfId="0">
      <alignment horizontal="right" vertical="bottom"/>
    </xf>
    <xf numFmtId="0" fontId="52" fillId="5" borderId="0" applyAlignment="1" pivotButton="0" quotePrefix="0" xfId="0">
      <alignment vertical="bottom"/>
    </xf>
    <xf numFmtId="0" fontId="54" fillId="0" borderId="32" applyAlignment="1" pivotButton="0" quotePrefix="0" xfId="0">
      <alignment horizontal="center" vertical="bottom"/>
    </xf>
    <xf numFmtId="3" fontId="2" fillId="0" borderId="33" applyAlignment="1" pivotButton="0" quotePrefix="0" xfId="0">
      <alignment horizontal="right" vertical="bottom"/>
    </xf>
    <xf numFmtId="0" fontId="16" fillId="0" borderId="35" pivotButton="0" quotePrefix="0" xfId="0"/>
    <xf numFmtId="0" fontId="52" fillId="24" borderId="0" applyAlignment="1" pivotButton="0" quotePrefix="0" xfId="0">
      <alignment vertical="bottom"/>
    </xf>
    <xf numFmtId="0" fontId="55" fillId="0" borderId="43" applyAlignment="1" pivotButton="0" quotePrefix="0" xfId="0">
      <alignment horizontal="center" vertical="bottom"/>
    </xf>
    <xf numFmtId="3" fontId="45" fillId="0" borderId="43" applyAlignment="1" pivotButton="0" quotePrefix="0" xfId="0">
      <alignment horizontal="right" vertical="bottom"/>
    </xf>
    <xf numFmtId="0" fontId="49" fillId="0" borderId="0" applyAlignment="1" pivotButton="0" quotePrefix="0" xfId="0">
      <alignment horizontal="center" vertical="bottom"/>
    </xf>
    <xf numFmtId="0" fontId="56" fillId="0" borderId="0" pivotButton="0" quotePrefix="0" xfId="0"/>
    <xf numFmtId="0" fontId="56" fillId="0" borderId="0" pivotButton="0" quotePrefix="0" xfId="0"/>
    <xf numFmtId="0" fontId="27" fillId="25" borderId="1" applyAlignment="1" pivotButton="0" quotePrefix="0" xfId="0">
      <alignment horizontal="center" vertical="bottom"/>
    </xf>
    <xf numFmtId="3" fontId="2" fillId="25" borderId="5" applyAlignment="1" pivotButton="0" quotePrefix="0" xfId="0">
      <alignment vertical="bottom"/>
    </xf>
    <xf numFmtId="0" fontId="27" fillId="0" borderId="0" applyAlignment="1" pivotButton="0" quotePrefix="0" xfId="0">
      <alignment vertical="bottom"/>
    </xf>
    <xf numFmtId="3" fontId="2" fillId="0" borderId="0" applyAlignment="1" pivotButton="0" quotePrefix="0" xfId="0">
      <alignment vertical="bottom"/>
    </xf>
    <xf numFmtId="0" fontId="54" fillId="0" borderId="0" applyAlignment="1" pivotButton="0" quotePrefix="0" xfId="0">
      <alignment vertical="bottom"/>
    </xf>
    <xf numFmtId="0" fontId="49" fillId="0" borderId="0" applyAlignment="1" pivotButton="0" quotePrefix="0" xfId="0">
      <alignment vertical="bottom"/>
    </xf>
    <xf numFmtId="0" fontId="13" fillId="0" borderId="0" applyAlignment="1" pivotButton="0" quotePrefix="0" xfId="0">
      <alignment wrapText="1"/>
    </xf>
    <xf numFmtId="3" fontId="36" fillId="15" borderId="1" applyAlignment="1" pivotButton="0" quotePrefix="0" xfId="0">
      <alignment horizontal="right" vertical="bottom"/>
    </xf>
    <xf numFmtId="0" fontId="55" fillId="0" borderId="1" applyAlignment="1" pivotButton="0" quotePrefix="0" xfId="0">
      <alignment horizontal="center" vertical="bottom"/>
    </xf>
    <xf numFmtId="3" fontId="13" fillId="26" borderId="44" pivotButton="0" quotePrefix="0" xfId="0"/>
    <xf numFmtId="0" fontId="16" fillId="0" borderId="2" pivotButton="0" quotePrefix="0" xfId="0"/>
    <xf numFmtId="0" fontId="57" fillId="0" borderId="0" pivotButton="0" quotePrefix="0" xfId="0"/>
    <xf numFmtId="0" fontId="55" fillId="0" borderId="0" applyAlignment="1" pivotButton="0" quotePrefix="0" xfId="0">
      <alignment horizontal="center" vertical="bottom"/>
    </xf>
    <xf numFmtId="0" fontId="13" fillId="0" borderId="0" pivotButton="0" quotePrefix="0" xfId="0"/>
    <xf numFmtId="0" fontId="45" fillId="22" borderId="42" applyAlignment="1" pivotButton="0" quotePrefix="0" xfId="0">
      <alignment horizontal="center" vertical="center"/>
    </xf>
    <xf numFmtId="0" fontId="45" fillId="0" borderId="5" applyAlignment="1" pivotButton="0" quotePrefix="0" xfId="0">
      <alignment horizontal="center" vertical="bottom"/>
    </xf>
    <xf numFmtId="3" fontId="36" fillId="15" borderId="5" applyAlignment="1" pivotButton="0" quotePrefix="0" xfId="0">
      <alignment horizontal="right" vertical="bottom"/>
    </xf>
    <xf numFmtId="0" fontId="45" fillId="0" borderId="1" applyAlignment="1" pivotButton="0" quotePrefix="0" xfId="0">
      <alignment horizontal="center" vertical="bottom"/>
    </xf>
    <xf numFmtId="3" fontId="27" fillId="5" borderId="5" applyAlignment="1" pivotButton="0" quotePrefix="0" xfId="0">
      <alignment horizontal="right" vertical="bottom"/>
    </xf>
    <xf numFmtId="0" fontId="49" fillId="0" borderId="1" applyAlignment="1" pivotButton="0" quotePrefix="0" xfId="0">
      <alignment horizontal="center" vertical="bottom"/>
    </xf>
    <xf numFmtId="3" fontId="45" fillId="0" borderId="1" applyAlignment="1" pivotButton="0" quotePrefix="0" xfId="0">
      <alignment horizontal="right" vertical="bottom"/>
    </xf>
    <xf numFmtId="0" fontId="45" fillId="0" borderId="1" applyAlignment="1" pivotButton="0" quotePrefix="0" xfId="0">
      <alignment horizontal="right" vertical="bottom"/>
    </xf>
    <xf numFmtId="3" fontId="45" fillId="22" borderId="1" applyAlignment="1" pivotButton="0" quotePrefix="0" xfId="0">
      <alignment horizontal="right" vertical="bottom"/>
    </xf>
    <xf numFmtId="3" fontId="2" fillId="15" borderId="5" applyAlignment="1" pivotButton="0" quotePrefix="0" xfId="0">
      <alignment vertical="bottom"/>
    </xf>
    <xf numFmtId="0" fontId="2" fillId="15" borderId="0" applyAlignment="1" pivotButton="0" quotePrefix="0" xfId="0">
      <alignment vertical="bottom"/>
    </xf>
    <xf numFmtId="3" fontId="2" fillId="0" borderId="0" applyAlignment="1" pivotButton="0" quotePrefix="0" xfId="0">
      <alignment vertical="bottom"/>
    </xf>
    <xf numFmtId="0" fontId="45" fillId="0" borderId="0" applyAlignment="1" pivotButton="0" quotePrefix="0" xfId="0">
      <alignment vertical="top"/>
    </xf>
    <xf numFmtId="0" fontId="45" fillId="22" borderId="0" applyAlignment="1" pivotButton="0" quotePrefix="0" xfId="0">
      <alignment vertical="bottom"/>
    </xf>
    <xf numFmtId="0" fontId="49" fillId="22" borderId="0" applyAlignment="1" pivotButton="0" quotePrefix="0" xfId="0">
      <alignment horizontal="center" wrapText="1"/>
    </xf>
    <xf numFmtId="0" fontId="49" fillId="22" borderId="0" applyAlignment="1" pivotButton="0" quotePrefix="0" xfId="0">
      <alignment horizontal="center" vertical="top"/>
    </xf>
    <xf numFmtId="0" fontId="55" fillId="22" borderId="0" applyAlignment="1" pivotButton="0" quotePrefix="0" xfId="0">
      <alignment horizontal="center" vertical="top"/>
    </xf>
    <xf numFmtId="0" fontId="45" fillId="0" borderId="0" applyAlignment="1" pivotButton="0" quotePrefix="0" xfId="0">
      <alignment horizontal="center" vertical="bottom"/>
    </xf>
    <xf numFmtId="3" fontId="58" fillId="26" borderId="1" applyAlignment="1" pivotButton="0" quotePrefix="0" xfId="0">
      <alignment horizontal="right" vertical="bottom"/>
    </xf>
    <xf numFmtId="3" fontId="50" fillId="27" borderId="45" applyAlignment="1" pivotButton="0" quotePrefix="0" xfId="0">
      <alignment horizontal="right" vertical="bottom"/>
    </xf>
    <xf numFmtId="0" fontId="45" fillId="0" borderId="0" applyAlignment="1" pivotButton="0" quotePrefix="0" xfId="0">
      <alignment horizontal="center" vertical="bottom"/>
    </xf>
    <xf numFmtId="10" fontId="50" fillId="0" borderId="5" applyAlignment="1" pivotButton="0" quotePrefix="0" xfId="0">
      <alignment horizontal="right" vertical="bottom"/>
    </xf>
    <xf numFmtId="0" fontId="14" fillId="0" borderId="0" pivotButton="0" quotePrefix="0" xfId="0"/>
    <xf numFmtId="0" fontId="14" fillId="0" borderId="0" applyAlignment="1" pivotButton="0" quotePrefix="0" xfId="0">
      <alignment horizontal="center"/>
    </xf>
    <xf numFmtId="0" fontId="14" fillId="3" borderId="0" applyAlignment="1" pivotButton="0" quotePrefix="0" xfId="0">
      <alignment horizontal="center"/>
    </xf>
    <xf numFmtId="0" fontId="38" fillId="0" borderId="0" pivotButton="0" quotePrefix="0" xfId="0"/>
    <xf numFmtId="0" fontId="14" fillId="14" borderId="1" applyAlignment="1" pivotButton="0" quotePrefix="0" xfId="0">
      <alignment horizontal="center"/>
    </xf>
    <xf numFmtId="0" fontId="26" fillId="14" borderId="1" applyAlignment="1" pivotButton="0" quotePrefix="0" xfId="0">
      <alignment horizontal="center" vertical="bottom"/>
    </xf>
    <xf numFmtId="0" fontId="26" fillId="14" borderId="1" applyAlignment="1" pivotButton="0" quotePrefix="0" xfId="0">
      <alignment horizontal="center" vertical="bottom"/>
    </xf>
    <xf numFmtId="0" fontId="59" fillId="14" borderId="1" applyAlignment="1" pivotButton="0" quotePrefix="0" xfId="0">
      <alignment horizontal="center" vertical="bottom"/>
    </xf>
    <xf numFmtId="38" fontId="26" fillId="14" borderId="1" applyAlignment="1" pivotButton="0" quotePrefix="0" xfId="0">
      <alignment horizontal="center" vertical="bottom"/>
    </xf>
    <xf numFmtId="0" fontId="38" fillId="0" borderId="0" applyAlignment="1" pivotButton="0" quotePrefix="0" xfId="0">
      <alignment horizontal="center"/>
    </xf>
    <xf numFmtId="0" fontId="26" fillId="0" borderId="0" applyAlignment="1" pivotButton="0" quotePrefix="0" xfId="0">
      <alignment horizontal="center"/>
    </xf>
    <xf numFmtId="0" fontId="26" fillId="0" borderId="1" applyAlignment="1" pivotButton="0" quotePrefix="0" xfId="0">
      <alignment horizontal="center"/>
    </xf>
    <xf numFmtId="0" fontId="14" fillId="3" borderId="1" applyAlignment="1" pivotButton="0" quotePrefix="0" xfId="0">
      <alignment vertical="bottom"/>
    </xf>
    <xf numFmtId="3" fontId="14" fillId="3" borderId="1" applyAlignment="1" pivotButton="0" quotePrefix="0" xfId="0">
      <alignment vertical="bottom"/>
    </xf>
    <xf numFmtId="38" fontId="26" fillId="0" borderId="1" applyAlignment="1" pivotButton="0" quotePrefix="0" xfId="0">
      <alignment horizontal="right" vertical="bottom"/>
    </xf>
    <xf numFmtId="3" fontId="14" fillId="3" borderId="1" applyAlignment="1" pivotButton="0" quotePrefix="0" xfId="0">
      <alignment vertical="bottom"/>
    </xf>
    <xf numFmtId="0" fontId="14" fillId="3" borderId="1" applyAlignment="1" pivotButton="0" quotePrefix="0" xfId="0">
      <alignment vertical="bottom"/>
    </xf>
    <xf numFmtId="0" fontId="14" fillId="14" borderId="1" applyAlignment="1" pivotButton="0" quotePrefix="0" xfId="0">
      <alignment horizontal="center"/>
    </xf>
    <xf numFmtId="0" fontId="14" fillId="0" borderId="0" applyAlignment="1" pivotButton="0" quotePrefix="0" xfId="0">
      <alignment vertical="bottom"/>
    </xf>
    <xf numFmtId="0" fontId="14" fillId="0" borderId="0" applyAlignment="1" pivotButton="0" quotePrefix="0" xfId="0">
      <alignment vertical="bottom"/>
    </xf>
    <xf numFmtId="0" fontId="60" fillId="2" borderId="0" pivotButton="0" quotePrefix="0" xfId="0"/>
    <xf numFmtId="38" fontId="26" fillId="0" borderId="0" applyAlignment="1" pivotButton="0" quotePrefix="0" xfId="0">
      <alignment horizontal="right" vertical="bottom"/>
    </xf>
    <xf numFmtId="0" fontId="26" fillId="0" borderId="1" pivotButton="0" quotePrefix="0" xfId="0"/>
    <xf numFmtId="0" fontId="26" fillId="0" borderId="0" applyAlignment="1" pivotButton="0" quotePrefix="0" xfId="0">
      <alignment vertical="bottom"/>
    </xf>
    <xf numFmtId="38" fontId="14" fillId="0" borderId="0" applyAlignment="1" pivotButton="0" quotePrefix="0" xfId="0">
      <alignment vertical="bottom"/>
    </xf>
    <xf numFmtId="0" fontId="2" fillId="20" borderId="0" applyAlignment="1" pivotButton="0" quotePrefix="0" xfId="0">
      <alignment vertical="bottom"/>
    </xf>
    <xf numFmtId="3" fontId="2" fillId="20" borderId="0" applyAlignment="1" pivotButton="0" quotePrefix="0" xfId="0">
      <alignment horizontal="right" vertical="bottom"/>
    </xf>
    <xf numFmtId="0" fontId="61" fillId="0" borderId="0" pivotButton="0" quotePrefix="0" xfId="0"/>
    <xf numFmtId="0" fontId="2" fillId="20" borderId="0" applyAlignment="1" pivotButton="0" quotePrefix="0" xfId="0">
      <alignment vertical="bottom"/>
    </xf>
    <xf numFmtId="0" fontId="62" fillId="0" borderId="0" applyAlignment="1" pivotButton="0" quotePrefix="0" xfId="0">
      <alignment vertical="bottom"/>
    </xf>
    <xf numFmtId="0" fontId="2" fillId="0" borderId="1" applyAlignment="1" pivotButton="0" quotePrefix="0" xfId="0">
      <alignment vertical="bottom"/>
    </xf>
    <xf numFmtId="0" fontId="2" fillId="3" borderId="1" applyAlignment="1" pivotButton="0" quotePrefix="0" xfId="0">
      <alignment horizontal="right" vertical="bottom"/>
    </xf>
    <xf numFmtId="0" fontId="2" fillId="20" borderId="1" applyAlignment="1" pivotButton="0" quotePrefix="0" xfId="0">
      <alignment vertical="bottom"/>
    </xf>
    <xf numFmtId="0" fontId="63" fillId="0" borderId="2" applyAlignment="1" pivotButton="0" quotePrefix="0" xfId="0">
      <alignment horizontal="center" vertical="top"/>
    </xf>
    <xf numFmtId="0" fontId="63" fillId="0" borderId="32" applyAlignment="1" pivotButton="0" quotePrefix="0" xfId="0">
      <alignment vertical="top"/>
    </xf>
    <xf numFmtId="0" fontId="63" fillId="0" borderId="2" applyAlignment="1" pivotButton="0" quotePrefix="0" xfId="0">
      <alignment vertical="top"/>
    </xf>
    <xf numFmtId="0" fontId="63" fillId="5" borderId="32" applyAlignment="1" pivotButton="0" quotePrefix="0" xfId="0">
      <alignment vertical="top"/>
    </xf>
    <xf numFmtId="0" fontId="63" fillId="0" borderId="4" applyAlignment="1" pivotButton="0" quotePrefix="0" xfId="0">
      <alignment horizontal="center" vertical="top"/>
    </xf>
    <xf numFmtId="0" fontId="63" fillId="0" borderId="4" applyAlignment="1" pivotButton="0" quotePrefix="0" xfId="0">
      <alignment vertical="top"/>
    </xf>
    <xf numFmtId="0" fontId="63" fillId="0" borderId="39" applyAlignment="1" pivotButton="0" quotePrefix="0" xfId="0">
      <alignment vertical="top"/>
    </xf>
    <xf numFmtId="0" fontId="64" fillId="0" borderId="4" applyAlignment="1" pivotButton="0" quotePrefix="0" xfId="0">
      <alignment horizontal="center" vertical="top"/>
    </xf>
    <xf numFmtId="0" fontId="63" fillId="0" borderId="5" applyAlignment="1" pivotButton="0" quotePrefix="0" xfId="0">
      <alignment vertical="top"/>
    </xf>
    <xf numFmtId="0" fontId="64" fillId="0" borderId="4" applyAlignment="1" pivotButton="0" quotePrefix="0" xfId="0">
      <alignment vertical="top"/>
    </xf>
    <xf numFmtId="0" fontId="63" fillId="0" borderId="39" applyAlignment="1" pivotButton="0" quotePrefix="0" xfId="0">
      <alignment vertical="bottom"/>
    </xf>
    <xf numFmtId="0" fontId="63" fillId="0" borderId="39" applyAlignment="1" pivotButton="0" quotePrefix="0" xfId="0">
      <alignment horizontal="center" vertical="top"/>
    </xf>
    <xf numFmtId="0" fontId="63" fillId="0" borderId="32" applyAlignment="1" pivotButton="0" quotePrefix="0" xfId="0">
      <alignment vertical="bottom"/>
    </xf>
    <xf numFmtId="0" fontId="63" fillId="3" borderId="4" applyAlignment="1" pivotButton="0" quotePrefix="0" xfId="0">
      <alignment horizontal="center" vertical="top"/>
    </xf>
    <xf numFmtId="0" fontId="63" fillId="3" borderId="4" applyAlignment="1" pivotButton="0" quotePrefix="0" xfId="0">
      <alignment vertical="top"/>
    </xf>
    <xf numFmtId="0" fontId="65" fillId="3" borderId="4" applyAlignment="1" pivotButton="0" quotePrefix="0" xfId="0">
      <alignment vertical="top"/>
    </xf>
    <xf numFmtId="0" fontId="63" fillId="5" borderId="39" applyAlignment="1" pivotButton="0" quotePrefix="0" xfId="0">
      <alignment vertical="top"/>
    </xf>
    <xf numFmtId="0" fontId="66" fillId="3" borderId="0" applyAlignment="1" pivotButton="0" quotePrefix="0" xfId="0">
      <alignment horizontal="center"/>
    </xf>
    <xf numFmtId="0" fontId="14" fillId="0" borderId="46" pivotButton="0" quotePrefix="0" xfId="0"/>
    <xf numFmtId="0" fontId="14" fillId="0" borderId="47" pivotButton="0" quotePrefix="0" xfId="0"/>
    <xf numFmtId="0" fontId="67" fillId="2" borderId="48" pivotButton="0" quotePrefix="0" xfId="0"/>
    <xf numFmtId="0" fontId="67" fillId="2" borderId="49" pivotButton="0" quotePrefix="0" xfId="0"/>
    <xf numFmtId="0" fontId="68" fillId="0" borderId="0" applyAlignment="1" pivotButton="0" quotePrefix="0" xfId="0">
      <alignment horizontal="right"/>
    </xf>
    <xf numFmtId="170" fontId="67" fillId="2" borderId="48" applyAlignment="1" pivotButton="0" quotePrefix="0" xfId="0">
      <alignment horizontal="right"/>
    </xf>
    <xf numFmtId="0" fontId="67" fillId="28" borderId="50" pivotButton="0" quotePrefix="0" xfId="0"/>
    <xf numFmtId="0" fontId="67" fillId="28" borderId="51" pivotButton="0" quotePrefix="0" xfId="0"/>
    <xf numFmtId="0" fontId="68" fillId="0" borderId="52" applyAlignment="1" pivotButton="0" quotePrefix="0" xfId="0">
      <alignment horizontal="right"/>
    </xf>
    <xf numFmtId="170" fontId="67" fillId="28" borderId="50" applyAlignment="1" pivotButton="0" quotePrefix="0" xfId="0">
      <alignment horizontal="right"/>
    </xf>
    <xf numFmtId="170" fontId="67" fillId="28" borderId="50" applyAlignment="1" pivotButton="0" quotePrefix="0" xfId="0">
      <alignment horizontal="right" vertical="bottom"/>
    </xf>
    <xf numFmtId="170" fontId="69" fillId="28" borderId="50" applyAlignment="1" pivotButton="0" quotePrefix="0" xfId="0">
      <alignment horizontal="right"/>
    </xf>
    <xf numFmtId="0" fontId="64" fillId="0" borderId="52" applyAlignment="1" pivotButton="0" quotePrefix="0" xfId="0">
      <alignment horizontal="right"/>
    </xf>
    <xf numFmtId="170" fontId="70" fillId="28" borderId="0" applyAlignment="1" pivotButton="0" quotePrefix="0" xfId="0">
      <alignment horizontal="right"/>
    </xf>
    <xf numFmtId="0" fontId="64" fillId="0" borderId="0" applyAlignment="1" pivotButton="0" quotePrefix="0" xfId="0">
      <alignment horizontal="right"/>
    </xf>
    <xf numFmtId="170" fontId="14" fillId="0" borderId="0" applyAlignment="1" pivotButton="0" quotePrefix="0" xfId="0">
      <alignment horizontal="right"/>
    </xf>
    <xf numFmtId="170" fontId="14" fillId="0" borderId="0" pivotButton="0" quotePrefix="0" xfId="0"/>
    <xf numFmtId="0" fontId="71" fillId="29" borderId="53" applyAlignment="1" pivotButton="0" quotePrefix="0" xfId="0">
      <alignment horizontal="center" vertical="top"/>
    </xf>
    <xf numFmtId="0" fontId="13" fillId="0" borderId="0" pivotButton="0" quotePrefix="0" xfId="0"/>
    <xf numFmtId="0" fontId="72" fillId="2" borderId="0" pivotButton="0" quotePrefix="0" xfId="0"/>
    <xf numFmtId="0" fontId="18" fillId="0" borderId="1" applyAlignment="1" pivotButton="0" quotePrefix="0" xfId="0">
      <alignment horizontal="center" wrapText="1"/>
    </xf>
    <xf numFmtId="0" fontId="73" fillId="0" borderId="0" applyAlignment="1" pivotButton="0" quotePrefix="0" xfId="0">
      <alignment vertical="center"/>
    </xf>
    <xf numFmtId="0" fontId="14" fillId="2" borderId="54" applyAlignment="1" pivotButton="0" quotePrefix="0" xfId="0">
      <alignment vertical="center"/>
    </xf>
    <xf numFmtId="0" fontId="18" fillId="0" borderId="1" applyAlignment="1" pivotButton="0" quotePrefix="0" xfId="0">
      <alignment horizontal="center" wrapText="1"/>
    </xf>
    <xf numFmtId="0" fontId="14" fillId="2" borderId="1" pivotButton="0" quotePrefix="0" xfId="0"/>
    <xf numFmtId="0" fontId="38" fillId="2" borderId="6" pivotButton="0" quotePrefix="0" xfId="0"/>
    <xf numFmtId="0" fontId="22" fillId="0" borderId="0" pivotButton="0" quotePrefix="0" xfId="0"/>
    <xf numFmtId="0" fontId="38" fillId="0" borderId="6" applyAlignment="1" pivotButton="0" quotePrefix="0" xfId="0">
      <alignment vertical="top"/>
    </xf>
    <xf numFmtId="0" fontId="13" fillId="0" borderId="0" applyAlignment="1" pivotButton="0" quotePrefix="0" xfId="0">
      <alignment vertical="center"/>
    </xf>
    <xf numFmtId="0" fontId="25" fillId="30" borderId="28" applyAlignment="1" pivotButton="0" quotePrefix="0" xfId="0">
      <alignment horizontal="center" vertical="center"/>
    </xf>
    <xf numFmtId="0" fontId="14" fillId="2" borderId="54" pivotButton="0" quotePrefix="0" xfId="0"/>
    <xf numFmtId="0" fontId="14" fillId="2" borderId="54" applyAlignment="1" pivotButton="0" quotePrefix="0" xfId="0">
      <alignment horizontal="left" vertical="center"/>
    </xf>
    <xf numFmtId="0" fontId="14" fillId="2" borderId="54" applyAlignment="1" pivotButton="0" quotePrefix="0" xfId="0">
      <alignment wrapText="1"/>
    </xf>
    <xf numFmtId="0" fontId="18" fillId="0" borderId="0" applyAlignment="1" pivotButton="0" quotePrefix="0" xfId="0">
      <alignment horizontal="left" vertical="center" wrapText="1"/>
    </xf>
    <xf numFmtId="0" fontId="34" fillId="31" borderId="0" applyAlignment="1" pivotButton="0" quotePrefix="0" xfId="0">
      <alignment wrapText="1"/>
    </xf>
    <xf numFmtId="0" fontId="34" fillId="2" borderId="0" applyAlignment="1" pivotButton="0" quotePrefix="0" xfId="0">
      <alignment wrapText="1"/>
    </xf>
    <xf numFmtId="0" fontId="14" fillId="2" borderId="28" applyAlignment="1" pivotButton="0" quotePrefix="0" xfId="0">
      <alignment wrapText="1"/>
    </xf>
    <xf numFmtId="0" fontId="34" fillId="3" borderId="0" applyAlignment="1" pivotButton="0" quotePrefix="0" xfId="0">
      <alignment wrapText="1"/>
    </xf>
    <xf numFmtId="0" fontId="14" fillId="2" borderId="28" applyAlignment="1" pivotButton="0" quotePrefix="0" xfId="0">
      <alignment vertical="center" wrapText="1"/>
    </xf>
    <xf numFmtId="3" fontId="74" fillId="0" borderId="44" applyAlignment="1" pivotButton="0" quotePrefix="0" xfId="0">
      <alignment horizontal="right" vertical="top"/>
    </xf>
    <xf numFmtId="3" fontId="74" fillId="0" borderId="55" applyAlignment="1" pivotButton="0" quotePrefix="0" xfId="0">
      <alignment horizontal="right" vertical="top"/>
    </xf>
    <xf numFmtId="0" fontId="0" fillId="0" borderId="0" pivotButton="0" quotePrefix="0" xfId="0"/>
    <xf numFmtId="0" fontId="15" fillId="7" borderId="56" applyAlignment="1" pivotButton="0" quotePrefix="0" xfId="0">
      <alignment horizontal="center" wrapText="1"/>
    </xf>
    <xf numFmtId="0" fontId="0" fillId="0" borderId="8" pivotButton="0" quotePrefix="0" xfId="0"/>
    <xf numFmtId="0" fontId="0" fillId="0" borderId="9" pivotButton="0" quotePrefix="0" xfId="0"/>
    <xf numFmtId="0" fontId="17" fillId="0" borderId="59" applyAlignment="1" pivotButton="0" quotePrefix="0" xfId="0">
      <alignment horizontal="center" wrapText="1"/>
    </xf>
    <xf numFmtId="0" fontId="0" fillId="0" borderId="11" pivotButton="0" quotePrefix="0" xfId="0"/>
    <xf numFmtId="0" fontId="0" fillId="0" borderId="12" pivotButton="0" quotePrefix="0" xfId="0"/>
    <xf numFmtId="0" fontId="15" fillId="7" borderId="61" applyAlignment="1" pivotButton="0" quotePrefix="0" xfId="0">
      <alignment horizontal="center" wrapText="1"/>
    </xf>
    <xf numFmtId="0" fontId="0" fillId="0" borderId="13" pivotButton="0" quotePrefix="0" xfId="0"/>
    <xf numFmtId="0" fontId="18" fillId="0" borderId="19" applyAlignment="1" pivotButton="0" quotePrefix="0" xfId="0">
      <alignment horizontal="center" wrapText="1"/>
    </xf>
    <xf numFmtId="0" fontId="0" fillId="0" borderId="19" pivotButton="0" quotePrefix="0" xfId="0"/>
    <xf numFmtId="0" fontId="19" fillId="0" borderId="20" applyAlignment="1" pivotButton="0" quotePrefix="0" xfId="0">
      <alignment horizontal="left" vertical="top" wrapText="1"/>
    </xf>
    <xf numFmtId="0" fontId="0" fillId="0" borderId="3" pivotButton="0" quotePrefix="0" xfId="0"/>
    <xf numFmtId="0" fontId="0" fillId="0" borderId="20" pivotButton="0" quotePrefix="0" xfId="0"/>
    <xf numFmtId="0" fontId="19" fillId="2" borderId="21" applyAlignment="1" pivotButton="0" quotePrefix="0" xfId="0">
      <alignment horizontal="left" vertical="center" wrapText="1"/>
    </xf>
    <xf numFmtId="0" fontId="0" fillId="0" borderId="21" pivotButton="0" quotePrefix="0" xfId="0"/>
    <xf numFmtId="0" fontId="19" fillId="2" borderId="64" applyAlignment="1" pivotButton="0" quotePrefix="0" xfId="0">
      <alignment wrapText="1"/>
    </xf>
    <xf numFmtId="0" fontId="0" fillId="0" borderId="24" pivotButton="0" quotePrefix="0" xfId="0"/>
    <xf numFmtId="0" fontId="0" fillId="0" borderId="25" pivotButton="0" quotePrefix="0" xfId="0"/>
    <xf numFmtId="0" fontId="14" fillId="10" borderId="6" applyAlignment="1" pivotButton="0" quotePrefix="0" xfId="0">
      <alignment horizontal="center" vertical="bottom"/>
    </xf>
    <xf numFmtId="0" fontId="14" fillId="10" borderId="6" applyAlignment="1" pivotButton="0" quotePrefix="0" xfId="0">
      <alignment horizontal="center" vertical="center"/>
    </xf>
    <xf numFmtId="0" fontId="18" fillId="18" borderId="1" applyAlignment="1" pivotButton="0" quotePrefix="0" xfId="0">
      <alignment horizontal="left" vertical="center" wrapText="1"/>
    </xf>
    <xf numFmtId="0" fontId="27" fillId="2" borderId="1" applyAlignment="1" pivotButton="0" quotePrefix="0" xfId="0">
      <alignment vertical="bottom" wrapText="1"/>
    </xf>
    <xf numFmtId="0" fontId="38" fillId="0" borderId="1" applyAlignment="1" pivotButton="0" quotePrefix="0" xfId="0">
      <alignment vertical="center"/>
    </xf>
    <xf numFmtId="0" fontId="0" fillId="0" borderId="39" pivotButton="0" quotePrefix="0" xfId="0"/>
    <xf numFmtId="0" fontId="0" fillId="0" borderId="5" pivotButton="0" quotePrefix="0" xfId="0"/>
    <xf numFmtId="38" fontId="18" fillId="20" borderId="1" applyAlignment="1" pivotButton="0" quotePrefix="0" xfId="0">
      <alignment wrapText="1"/>
    </xf>
    <xf numFmtId="169" fontId="26" fillId="16" borderId="1" applyAlignment="1" pivotButton="0" quotePrefix="0" xfId="0">
      <alignment horizontal="center" vertical="center" wrapText="1"/>
    </xf>
    <xf numFmtId="0" fontId="14" fillId="5" borderId="6" applyAlignment="1" pivotButton="0" quotePrefix="0" xfId="0">
      <alignment horizontal="center" vertical="bottom"/>
    </xf>
    <xf numFmtId="0" fontId="14" fillId="0" borderId="6" applyAlignment="1" pivotButton="0" quotePrefix="0" xfId="0">
      <alignment vertical="bottom"/>
    </xf>
    <xf numFmtId="3" fontId="2" fillId="0" borderId="32" applyAlignment="1" pivotButton="0" quotePrefix="0" xfId="0">
      <alignment horizontal="right" vertical="bottom"/>
    </xf>
    <xf numFmtId="0" fontId="0" fillId="0" borderId="35" pivotButton="0" quotePrefix="0" xfId="0"/>
    <xf numFmtId="3" fontId="13" fillId="26" borderId="1" pivotButton="0" quotePrefix="0" xfId="0"/>
    <xf numFmtId="0" fontId="0" fillId="0" borderId="2" pivotButton="0" quotePrefix="0" xfId="0"/>
    <xf numFmtId="0" fontId="63" fillId="5" borderId="1" applyAlignment="1" pivotButton="0" quotePrefix="0" xfId="0">
      <alignment vertical="top"/>
    </xf>
    <xf numFmtId="0" fontId="63" fillId="0" borderId="5" applyAlignment="1" pivotButton="0" quotePrefix="0" xfId="0">
      <alignment horizontal="center" vertical="top"/>
    </xf>
    <xf numFmtId="0" fontId="63" fillId="5" borderId="5" applyAlignment="1" pivotButton="0" quotePrefix="0" xfId="0">
      <alignment vertical="top"/>
    </xf>
    <xf numFmtId="170" fontId="67" fillId="2" borderId="48" applyAlignment="1" pivotButton="0" quotePrefix="0" xfId="0">
      <alignment horizontal="right"/>
    </xf>
    <xf numFmtId="170" fontId="67" fillId="28" borderId="50" applyAlignment="1" pivotButton="0" quotePrefix="0" xfId="0">
      <alignment horizontal="right"/>
    </xf>
    <xf numFmtId="170" fontId="67" fillId="28" borderId="50" applyAlignment="1" pivotButton="0" quotePrefix="0" xfId="0">
      <alignment horizontal="right" vertical="bottom"/>
    </xf>
    <xf numFmtId="170" fontId="69" fillId="28" borderId="50" applyAlignment="1" pivotButton="0" quotePrefix="0" xfId="0">
      <alignment horizontal="right"/>
    </xf>
    <xf numFmtId="170" fontId="70" fillId="28" borderId="0" applyAlignment="1" pivotButton="0" quotePrefix="0" xfId="0">
      <alignment horizontal="right"/>
    </xf>
    <xf numFmtId="170" fontId="14" fillId="0" borderId="0" applyAlignment="1" pivotButton="0" quotePrefix="0" xfId="0">
      <alignment horizontal="right"/>
    </xf>
    <xf numFmtId="170" fontId="14" fillId="0" borderId="0" pivotButton="0" quotePrefix="0" xfId="0"/>
    <xf numFmtId="0" fontId="25" fillId="12" borderId="6" applyAlignment="1" pivotButton="0" quotePrefix="0" xfId="0">
      <alignment horizontal="center" vertical="center"/>
    </xf>
    <xf numFmtId="0" fontId="14" fillId="2" borderId="66" applyAlignment="1" pivotButton="0" quotePrefix="0" xfId="0">
      <alignment wrapText="1"/>
    </xf>
    <xf numFmtId="0" fontId="0" fillId="0" borderId="67" pivotButton="0" quotePrefix="0" xfId="0"/>
    <xf numFmtId="0" fontId="0" fillId="0" borderId="4" pivotButton="0" quotePrefix="0" xfId="0"/>
  </cellXfs>
  <cellStyles count="1">
    <cellStyle name="Normal" xfId="0" builtinId="0"/>
  </cellStyles>
  <dxfs count="7">
    <dxf>
      <font/>
      <fill>
        <patternFill patternType="solid">
          <fgColor rgb="FFB7E1CD"/>
          <bgColor rgb="FFB7E1CD"/>
        </patternFill>
      </fill>
      <border/>
    </dxf>
    <dxf>
      <font/>
      <fill>
        <patternFill patternType="solid">
          <fgColor rgb="FFFFFF00"/>
          <bgColor rgb="FFFFFF00"/>
        </patternFill>
      </fill>
      <border/>
    </dxf>
    <dxf>
      <font/>
      <fill>
        <patternFill/>
      </fill>
      <border/>
    </dxf>
    <dxf>
      <font/>
      <fill>
        <patternFill patternType="solid">
          <fgColor rgb="FFCCCCCC"/>
          <bgColor rgb="FFCCCCCC"/>
        </patternFill>
      </fill>
      <border/>
    </dxf>
    <dxf>
      <font/>
      <fill>
        <patternFill/>
      </fill>
      <border/>
    </dxf>
    <dxf>
      <font/>
      <fill>
        <patternFill patternType="solid">
          <fgColor rgb="FFFFFFFF"/>
          <bgColor rgb="FFFFFFFF"/>
        </patternFill>
      </fill>
      <border/>
    </dxf>
    <dxf>
      <font/>
      <fill>
        <patternFill patternType="solid">
          <fgColor rgb="FFF6F8F9"/>
          <bgColor rgb="FFF6F8F9"/>
        </patternFill>
      </fill>
      <border/>
    </dxf>
  </dxfs>
  <tableStyles count="3" defaultTableStyle="TableStyleMedium9" defaultPivotStyle="PivotStyleLight16">
    <tableStyle name="商品マスタ-style" pivot="0" count="2">
      <tableStyleElement type="firstRowStripe" dxfId="5"/>
      <tableStyleElement type="secondRowStripe" dxfId="6"/>
    </tableStyle>
    <tableStyle name="商品マスタ-style 2" pivot="0" count="2">
      <tableStyleElement type="firstRowStripe" dxfId="5"/>
      <tableStyleElement type="secondRowStripe" dxfId="6"/>
    </tableStyle>
    <tableStyle name="商品マスタ-style 3" pivot="0" count="2">
      <tableStyleElement type="firstRowStripe" dxfId="5"/>
      <tableStyleElement type="secondRowStripe" dxfId="6"/>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4</col>
      <colOff>76200</colOff>
      <row>0</row>
      <rowOff>133350</rowOff>
    </from>
    <ext cx="1504950" cy="647700"/>
    <pic>
      <nvPicPr>
        <cNvPr id="0" name="image1.png" title="画像"/>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ables/table1.xml><?xml version="1.0" encoding="utf-8"?>
<table xmlns="http://schemas.openxmlformats.org/spreadsheetml/2006/main" id="1" name="Table_1" displayName="Table_1" ref="B3:B28" headerRowCount="0">
  <tableColumns count="1">
    <tableColumn id="1" name="Column1"/>
  </tableColumns>
  <tableStyleInfo name="商品マスタ-style" showFirstColumn="1" showLastColumn="1" showRowStripes="1" showColumnStripes="0"/>
</table>
</file>

<file path=xl/tables/table2.xml><?xml version="1.0" encoding="utf-8"?>
<table xmlns="http://schemas.openxmlformats.org/spreadsheetml/2006/main" id="2" name="Table_2" displayName="Table_2" ref="C3:C28" headerRowCount="0">
  <tableColumns count="1">
    <tableColumn id="1" name="Column1"/>
  </tableColumns>
  <tableStyleInfo name="商品マスタ-style 2" showFirstColumn="1" showLastColumn="1" showRowStripes="1" showColumnStripes="0"/>
</table>
</file>

<file path=xl/tables/table3.xml><?xml version="1.0" encoding="utf-8"?>
<table xmlns="http://schemas.openxmlformats.org/spreadsheetml/2006/main" id="3" name="Table_3" displayName="Table_3" ref="E3:H28" headerRowCount="0">
  <tableColumns count="4">
    <tableColumn id="1" name="Column1"/>
    <tableColumn id="2" name="Column2"/>
    <tableColumn id="3" name="Column3"/>
    <tableColumn id="4" name="Column4"/>
  </tableColumns>
  <tableStyleInfo name="商品マスタ-style 3"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hyperlink" Target="https://drive.google.com/file/d/1zgd5D9crG5BHn49TjvwByKffx6PFEI_x/view?usp=drive_link" TargetMode="External" Id="rId1"/><Relationship Type="http://schemas.openxmlformats.org/officeDocument/2006/relationships/hyperlink" Target="https://drive.google.com/file/d/1U19obnxWULZUN7VeANje03PNWVzKoa5o/view?usp=drive_link" TargetMode="External" Id="rId2"/><Relationship Type="http://schemas.openxmlformats.org/officeDocument/2006/relationships/hyperlink" Target="https://drive.google.com/file/d/1_wGQDsMRlhQ_WQeNdxVbkkImlvCRWokQ/view?usp=sharing" TargetMode="External" Id="rId3"/><Relationship Type="http://schemas.openxmlformats.org/officeDocument/2006/relationships/hyperlink" Target="https://mirasapo-connect.go.jp/chusho-subsidies" TargetMode="External" Id="rId4"/><Relationship Type="http://schemas.openxmlformats.org/officeDocument/2006/relationships/hyperlink" Target="https://docs.google.com/spreadsheets/d/1QZmV5oqwdLW4fMnkt-Js6_VNC8C1Vqtk/edit?usp=sharing&amp;ouid=100944583635423381492&amp;rtpof=true&amp;sd=true" TargetMode="External" Id="rId5"/><Relationship Type="http://schemas.openxmlformats.org/officeDocument/2006/relationships/hyperlink" Target="https://colorfulbox.notion.site/217b18ce5fff804d967fd0fa4a90b6d3" TargetMode="External" Id="rId6"/><Relationship Type="http://schemas.openxmlformats.org/officeDocument/2006/relationships/hyperlink" Target="https://www.e-stat.go.jp/classifications/terms/10" TargetMode="External" Id="rId7"/><Relationship Type="http://schemas.openxmlformats.org/officeDocument/2006/relationships/hyperlink" Target="https://docs.google.com/spreadsheets/d/11w72Xlc4YpgzMt9VZFIltIN78Tvj1lLL/edit?usp=drive_link&amp;ouid=100944583635423381492&amp;rtpof=true&amp;sd=true%22" TargetMode="External" Id="rId8"/><Relationship Type="http://schemas.openxmlformats.org/officeDocument/2006/relationships/hyperlink" Target="https://www.mhlw.go.jp/content/11200000/001557915.pdf" TargetMode="External" Id="rId9"/><Relationship Type="http://schemas.openxmlformats.org/officeDocument/2006/relationships/hyperlink" Target="https://it-shien.smrj.go.jp/pdf/it2026_chingin_houkoku1_katen.xlsx" TargetMode="External" Id="rId10"/><Relationship Type="http://schemas.openxmlformats.org/officeDocument/2006/relationships/hyperlink" Target="https://it-shien.smrj.go.jp/pdf/it2026_chingin_houkoku2_katen.xlsx" TargetMode="External" Id="rId11"/></Relationships>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s>
</file>

<file path=xl/worksheets/sheet1.xml><?xml version="1.0" encoding="utf-8"?>
<worksheet xmlns="http://schemas.openxmlformats.org/spreadsheetml/2006/main">
  <sheetPr>
    <outlinePr summaryBelow="0" summaryRight="0"/>
    <pageSetUpPr/>
  </sheetPr>
  <dimension ref="A1:AT993"/>
  <sheetViews>
    <sheetView workbookViewId="0">
      <selection activeCell="A1" sqref="A1"/>
    </sheetView>
  </sheetViews>
  <sheetFormatPr baseColWidth="8" defaultColWidth="12.63" defaultRowHeight="15.75" customHeight="1"/>
  <cols>
    <col width="40.63" customWidth="1" style="477" min="1" max="1"/>
    <col width="53.63" customWidth="1" style="477" min="2" max="2"/>
    <col width="49.63" customWidth="1" style="477" min="3" max="3"/>
  </cols>
  <sheetData>
    <row r="1">
      <c r="A1" s="1" t="n"/>
      <c r="B1" s="4" t="n"/>
      <c r="C1" s="4" t="n"/>
      <c r="D1" s="169" t="n"/>
      <c r="E1" s="169" t="n"/>
      <c r="F1" s="169" t="n"/>
      <c r="G1" s="169" t="n"/>
      <c r="H1" s="169" t="n"/>
      <c r="I1" s="169" t="n"/>
      <c r="J1" s="169" t="n"/>
      <c r="K1" s="169" t="n"/>
      <c r="L1" s="169" t="n"/>
      <c r="M1" s="169" t="n"/>
      <c r="N1" s="169" t="n"/>
      <c r="O1" s="169" t="n"/>
      <c r="P1" s="169" t="n"/>
      <c r="Q1" s="169" t="n"/>
      <c r="R1" s="169" t="n"/>
      <c r="S1" s="169" t="n"/>
      <c r="T1" s="169" t="n"/>
      <c r="U1" s="169" t="n"/>
      <c r="V1" s="169" t="n"/>
      <c r="W1" s="169" t="n"/>
      <c r="X1" s="169" t="n"/>
      <c r="Y1" s="169" t="n"/>
      <c r="Z1" s="169" t="n"/>
      <c r="AA1" s="169" t="n"/>
      <c r="AB1" s="169" t="n"/>
      <c r="AC1" s="169" t="n"/>
      <c r="AD1" s="169" t="n"/>
      <c r="AE1" s="169" t="n"/>
      <c r="AF1" s="169" t="n"/>
      <c r="AG1" s="169" t="n"/>
      <c r="AH1" s="169" t="n"/>
      <c r="AI1" s="169" t="n"/>
      <c r="AJ1" s="169" t="n"/>
      <c r="AK1" s="169" t="n"/>
      <c r="AL1" s="169" t="n"/>
      <c r="AM1" s="169" t="n"/>
      <c r="AN1" s="169" t="n"/>
      <c r="AO1" s="169" t="n"/>
      <c r="AP1" s="169" t="n"/>
      <c r="AQ1" s="169" t="n"/>
      <c r="AR1" s="169" t="n"/>
      <c r="AS1" s="169" t="n"/>
      <c r="AT1" s="169" t="n"/>
    </row>
    <row r="2">
      <c r="A2" s="1" t="n"/>
      <c r="B2" s="4" t="n"/>
      <c r="C2" s="4" t="n"/>
      <c r="D2" s="169" t="n"/>
      <c r="E2" s="169" t="n"/>
      <c r="F2" s="169" t="n"/>
      <c r="G2" s="169" t="n"/>
      <c r="H2" s="169" t="n"/>
      <c r="I2" s="169" t="n"/>
      <c r="J2" s="169" t="n"/>
      <c r="K2" s="169" t="n"/>
      <c r="L2" s="169" t="n"/>
      <c r="M2" s="169" t="n"/>
      <c r="N2" s="169" t="n"/>
      <c r="O2" s="169" t="n"/>
      <c r="P2" s="169" t="n"/>
      <c r="Q2" s="169" t="n"/>
      <c r="R2" s="169" t="n"/>
      <c r="S2" s="169" t="n"/>
      <c r="T2" s="169" t="n"/>
      <c r="U2" s="169" t="n"/>
      <c r="V2" s="169" t="n"/>
      <c r="W2" s="169" t="n"/>
      <c r="X2" s="169" t="n"/>
      <c r="Y2" s="169" t="n"/>
      <c r="Z2" s="169" t="n"/>
      <c r="AA2" s="169" t="n"/>
      <c r="AB2" s="169" t="n"/>
      <c r="AC2" s="169" t="n"/>
      <c r="AD2" s="169" t="n"/>
      <c r="AE2" s="169" t="n"/>
      <c r="AF2" s="169" t="n"/>
      <c r="AG2" s="169" t="n"/>
      <c r="AH2" s="169" t="n"/>
      <c r="AI2" s="169" t="n"/>
      <c r="AJ2" s="169" t="n"/>
      <c r="AK2" s="169" t="n"/>
      <c r="AL2" s="169" t="n"/>
      <c r="AM2" s="169" t="n"/>
      <c r="AN2" s="169" t="n"/>
      <c r="AO2" s="169" t="n"/>
      <c r="AP2" s="169" t="n"/>
      <c r="AQ2" s="169" t="n"/>
      <c r="AR2" s="169" t="n"/>
      <c r="AS2" s="169" t="n"/>
      <c r="AT2" s="169" t="n"/>
    </row>
    <row r="3">
      <c r="A3" s="1" t="n"/>
      <c r="B3" s="4" t="inlineStr">
        <is>
          <t>↓黄色セルはすべてに記入をお願いいたします。</t>
        </is>
      </c>
      <c r="C3" s="4" t="n"/>
      <c r="D3" s="169" t="n"/>
      <c r="E3" s="169" t="n"/>
      <c r="F3" s="169" t="n"/>
      <c r="G3" s="169" t="n"/>
      <c r="H3" s="169" t="n"/>
      <c r="I3" s="169" t="n"/>
      <c r="J3" s="169" t="n"/>
      <c r="K3" s="169" t="n"/>
      <c r="L3" s="169" t="n"/>
      <c r="M3" s="169" t="n"/>
      <c r="N3" s="169" t="n"/>
      <c r="O3" s="169" t="n"/>
      <c r="P3" s="169" t="n"/>
      <c r="Q3" s="169" t="n"/>
      <c r="R3" s="169" t="n"/>
      <c r="S3" s="169" t="n"/>
      <c r="T3" s="169" t="n"/>
      <c r="U3" s="169" t="n"/>
      <c r="V3" s="169" t="n"/>
      <c r="W3" s="169" t="n"/>
      <c r="X3" s="169" t="n"/>
      <c r="Y3" s="169" t="n"/>
      <c r="Z3" s="169" t="n"/>
      <c r="AA3" s="169" t="n"/>
      <c r="AB3" s="169" t="n"/>
      <c r="AC3" s="169" t="n"/>
      <c r="AD3" s="169" t="n"/>
      <c r="AE3" s="169" t="n"/>
      <c r="AF3" s="169" t="n"/>
      <c r="AG3" s="169" t="n"/>
      <c r="AH3" s="169" t="n"/>
      <c r="AI3" s="169" t="n"/>
      <c r="AJ3" s="169" t="n"/>
      <c r="AK3" s="169" t="n"/>
      <c r="AL3" s="169" t="n"/>
      <c r="AM3" s="169" t="n"/>
      <c r="AN3" s="169" t="n"/>
      <c r="AO3" s="169" t="n"/>
      <c r="AP3" s="169" t="n"/>
      <c r="AQ3" s="169" t="n"/>
      <c r="AR3" s="169" t="n"/>
      <c r="AS3" s="169" t="n"/>
      <c r="AT3" s="169" t="n"/>
    </row>
    <row r="4">
      <c r="A4" s="5" t="inlineStr">
        <is>
          <t>項目</t>
        </is>
      </c>
      <c r="B4" s="7" t="inlineStr">
        <is>
          <t>記入欄</t>
        </is>
      </c>
      <c r="C4" s="7" t="inlineStr">
        <is>
          <t>補足</t>
        </is>
      </c>
    </row>
    <row r="5">
      <c r="A5" s="19" t="n"/>
      <c r="B5" s="41" t="n"/>
      <c r="C5" s="41" t="n"/>
    </row>
    <row r="6">
      <c r="A6" s="11" t="inlineStr">
        <is>
          <t>GビズIDプライム</t>
        </is>
      </c>
      <c r="B6" s="12" t="n"/>
      <c r="C6" s="13" t="n"/>
    </row>
    <row r="7">
      <c r="A7" s="19" t="n"/>
      <c r="B7" s="41" t="n"/>
      <c r="C7" s="41" t="n"/>
    </row>
    <row r="8">
      <c r="A8" s="14" t="inlineStr">
        <is>
          <t>企業名</t>
        </is>
      </c>
      <c r="B8" s="58" t="n"/>
      <c r="C8" s="26" t="n"/>
    </row>
    <row r="9">
      <c r="A9" s="60" t="n"/>
      <c r="B9" s="51" t="n"/>
      <c r="C9" s="41" t="n"/>
    </row>
    <row r="10">
      <c r="A10" s="14" t="inlineStr">
        <is>
          <t>企業名（フリガナ）</t>
        </is>
      </c>
      <c r="B10" s="58" t="n"/>
      <c r="C10" s="26" t="n"/>
    </row>
    <row r="11">
      <c r="A11" s="19" t="n"/>
      <c r="B11" s="41" t="n"/>
      <c r="C11" s="41" t="n"/>
    </row>
    <row r="12">
      <c r="A12" s="14" t="inlineStr">
        <is>
          <t>店舗事業所数</t>
        </is>
      </c>
      <c r="B12" s="21" t="n"/>
      <c r="C12" s="26" t="n"/>
    </row>
    <row r="13">
      <c r="A13" s="19" t="n"/>
      <c r="B13" s="41" t="n"/>
      <c r="C13" s="41" t="n"/>
    </row>
    <row r="14">
      <c r="A14" s="14" t="inlineStr">
        <is>
          <t>事業者URL</t>
        </is>
      </c>
      <c r="B14" s="22" t="n"/>
      <c r="C14" s="26" t="n"/>
    </row>
    <row r="15">
      <c r="A15" s="52" t="n"/>
      <c r="B15" s="51" t="n"/>
      <c r="C15" s="41" t="n"/>
    </row>
    <row r="16">
      <c r="A16" s="14" t="inlineStr">
        <is>
          <t>主な事業内容</t>
        </is>
      </c>
      <c r="B16" s="25" t="n"/>
      <c r="C16" s="26" t="n"/>
    </row>
    <row r="17">
      <c r="A17" s="14" t="inlineStr">
        <is>
          <t>他社に負けない貴社の「強み」は何ですか？</t>
        </is>
      </c>
      <c r="B17" s="12" t="n"/>
      <c r="C17" s="13" t="n"/>
    </row>
    <row r="18">
      <c r="A18" s="14" t="inlineStr">
        <is>
          <t>現在「時間がかかっている業務」は何ですか？</t>
        </is>
      </c>
      <c r="B18" s="12" t="n"/>
      <c r="C18" s="13" t="n"/>
    </row>
    <row r="19">
      <c r="A19" s="14" t="inlineStr">
        <is>
          <t>その業務に「月間何時間」ほど費やしていますか？</t>
        </is>
      </c>
      <c r="B19" s="12" t="n"/>
      <c r="C19" s="13" t="n"/>
    </row>
    <row r="20">
      <c r="A20" s="14" t="inlineStr">
        <is>
          <t>導入するツールのどの機能を使って、どう楽にしたいですか？</t>
        </is>
      </c>
      <c r="B20" s="12" t="n"/>
      <c r="C20" s="13" t="n"/>
    </row>
    <row r="21">
      <c r="A21" s="14" t="inlineStr">
        <is>
          <t>導入後、事務作業時間は「何％（あるいは何時間）」削減できそうですか？</t>
        </is>
      </c>
      <c r="B21" s="12" t="n"/>
      <c r="C21" s="13" t="n"/>
    </row>
    <row r="22">
      <c r="A22" s="14" t="inlineStr">
        <is>
          <t>作業が楽になり「浮いた時間」で、どのような価値を生む業務を行いますか？</t>
        </is>
      </c>
      <c r="B22" s="12" t="n"/>
      <c r="C22" s="13" t="n"/>
    </row>
    <row r="23">
      <c r="A23" s="14" t="inlineStr">
        <is>
          <t>3年後の「売上目標」を教えてください</t>
        </is>
      </c>
      <c r="B23" s="12" t="n"/>
      <c r="C23" s="13" t="n"/>
    </row>
    <row r="24">
      <c r="A24" s="14" t="inlineStr">
        <is>
          <t>どのような属性の取引先が多いですか？</t>
        </is>
      </c>
      <c r="B24" s="27" t="n"/>
      <c r="C24" s="13" t="n"/>
    </row>
    <row r="25">
      <c r="A25" s="19" t="n"/>
      <c r="B25" s="41" t="n"/>
      <c r="C25" s="41" t="n"/>
    </row>
    <row r="26">
      <c r="A26" s="14" t="inlineStr">
        <is>
          <t>代表電話番号</t>
        </is>
      </c>
      <c r="B26" s="28" t="n"/>
      <c r="C26" s="26" t="n"/>
    </row>
    <row r="27">
      <c r="A27" s="19" t="n"/>
      <c r="B27" s="41" t="n"/>
      <c r="C27" s="41" t="n"/>
    </row>
    <row r="28">
      <c r="A28" s="14" t="inlineStr">
        <is>
          <t>担当者氏名</t>
        </is>
      </c>
      <c r="B28" s="58" t="n"/>
      <c r="C28" s="26" t="n"/>
    </row>
    <row r="29">
      <c r="A29" s="19" t="n"/>
      <c r="B29" s="41" t="n"/>
      <c r="C29" s="41" t="n"/>
    </row>
    <row r="30">
      <c r="A30" s="14" t="inlineStr">
        <is>
          <t>担当者氏名フリガナ</t>
        </is>
      </c>
      <c r="B30" s="58" t="n"/>
      <c r="C30" s="26" t="n"/>
    </row>
    <row r="31">
      <c r="A31" s="19" t="n"/>
      <c r="B31" s="41" t="n"/>
      <c r="C31" s="41" t="n"/>
    </row>
    <row r="32">
      <c r="A32" s="14" t="inlineStr">
        <is>
          <t>担当者メールアドレス</t>
        </is>
      </c>
      <c r="B32" s="22" t="n"/>
      <c r="C32" s="59" t="n"/>
    </row>
    <row r="33">
      <c r="A33" s="19" t="n"/>
      <c r="B33" s="41" t="n"/>
      <c r="C33" s="41" t="n"/>
    </row>
    <row r="34">
      <c r="A34" s="14" t="inlineStr">
        <is>
          <t>担当者電話番号</t>
        </is>
      </c>
      <c r="B34" s="28" t="n"/>
      <c r="C34" s="26" t="n"/>
    </row>
    <row r="35">
      <c r="A35" s="19" t="n"/>
      <c r="B35" s="41" t="n"/>
      <c r="C35" s="41" t="n"/>
    </row>
    <row r="36">
      <c r="A36" s="14" t="inlineStr">
        <is>
          <t>担当者携帯番号</t>
        </is>
      </c>
      <c r="B36" s="28" t="n"/>
      <c r="C36" s="26" t="n"/>
    </row>
    <row r="37">
      <c r="A37" s="19" t="n"/>
      <c r="B37" s="41" t="n"/>
      <c r="C37" s="41" t="n"/>
    </row>
    <row r="38">
      <c r="A38" s="14" t="inlineStr">
        <is>
          <t>従業員数：正規雇用</t>
        </is>
      </c>
      <c r="B38" s="58" t="n"/>
      <c r="C38" s="30" t="n"/>
    </row>
    <row r="39">
      <c r="A39" s="19" t="n"/>
      <c r="B39" s="41" t="n"/>
      <c r="C39" s="31" t="n"/>
    </row>
    <row r="40">
      <c r="A40" s="14" t="inlineStr">
        <is>
          <t>従業員数：契約社員</t>
        </is>
      </c>
      <c r="B40" s="58" t="n"/>
      <c r="C40" s="30" t="n"/>
    </row>
    <row r="41">
      <c r="A41" s="19" t="n"/>
      <c r="B41" s="41" t="n"/>
      <c r="C41" s="31" t="n"/>
    </row>
    <row r="42">
      <c r="A42" s="14" t="inlineStr">
        <is>
          <t>従業員数：パートアルバイト</t>
        </is>
      </c>
      <c r="B42" s="58" t="n"/>
      <c r="C42" s="30" t="n"/>
    </row>
    <row r="43">
      <c r="A43" s="19" t="n"/>
      <c r="B43" s="41" t="n"/>
      <c r="C43" s="31" t="n"/>
    </row>
    <row r="44">
      <c r="A44" s="14" t="inlineStr">
        <is>
          <t>従業員数：派遣社員</t>
        </is>
      </c>
      <c r="B44" s="58" t="n"/>
      <c r="C44" s="30" t="n"/>
    </row>
    <row r="45">
      <c r="A45" s="19" t="n"/>
      <c r="B45" s="41" t="n"/>
      <c r="C45" s="41" t="n"/>
    </row>
    <row r="46">
      <c r="A46" s="14" t="inlineStr">
        <is>
          <t>従業員数：その他</t>
        </is>
      </c>
      <c r="B46" s="58" t="n"/>
      <c r="C46" s="26" t="n"/>
    </row>
    <row r="47">
      <c r="A47" s="19" t="n"/>
      <c r="B47" s="41" t="n"/>
      <c r="C47" s="41" t="n"/>
    </row>
    <row r="48">
      <c r="A48" s="32" t="inlineStr">
        <is>
          <t>過去にサービス等生産性向上IT導入支援事業の補助金の交付を受けている</t>
        </is>
      </c>
      <c r="B48" s="25" t="n"/>
      <c r="C48" s="26" t="inlineStr">
        <is>
          <t>①有
 ②無</t>
        </is>
      </c>
    </row>
    <row r="49">
      <c r="A49" s="33" t="inlineStr">
        <is>
          <t>⇨「有」の場合、下記についてお教えください</t>
        </is>
      </c>
      <c r="B49" s="49" t="n"/>
      <c r="C49" s="41" t="n"/>
    </row>
    <row r="50">
      <c r="A50" s="14" t="inlineStr">
        <is>
          <t>申請年度</t>
        </is>
      </c>
      <c r="B50" s="35" t="n"/>
      <c r="C50" s="26" t="n"/>
    </row>
    <row r="51">
      <c r="A51" s="36" t="inlineStr">
        <is>
          <t>申請枠</t>
        </is>
      </c>
      <c r="B51" s="37" t="n"/>
      <c r="C51" s="38" t="n"/>
    </row>
    <row r="52">
      <c r="A52" s="36" t="inlineStr">
        <is>
          <t>申請回</t>
        </is>
      </c>
      <c r="B52" s="37" t="n"/>
      <c r="C52" s="39" t="n"/>
    </row>
    <row r="53">
      <c r="A53" s="52" t="n"/>
      <c r="B53" s="51" t="n"/>
      <c r="C53" s="41" t="n"/>
    </row>
    <row r="54">
      <c r="A54" s="19" t="n"/>
      <c r="B54" s="51" t="n"/>
      <c r="C54" s="40" t="n"/>
    </row>
    <row r="55">
      <c r="A55" s="41" t="inlineStr">
        <is>
          <t>女性活躍推進法に基づく一般事業主行動計画</t>
        </is>
      </c>
      <c r="B55" s="41" t="n"/>
      <c r="C55" s="42" t="n"/>
    </row>
    <row r="56">
      <c r="A56" s="14" t="inlineStr">
        <is>
          <t>えるぼし認定取得状況</t>
        </is>
      </c>
      <c r="B56" s="25" t="n"/>
      <c r="C56" s="43" t="inlineStr">
        <is>
          <t>① えるぼし認定
② プラチナえるぼし認定
③ 認定なし</t>
        </is>
      </c>
    </row>
    <row r="57">
      <c r="A57" s="19" t="n"/>
      <c r="B57" s="51" t="n"/>
      <c r="C57" s="40" t="n"/>
    </row>
    <row r="58">
      <c r="A58" s="44" t="inlineStr">
        <is>
          <t>次世代法に基づく一般事業主行動計画</t>
        </is>
      </c>
      <c r="B58" s="45" t="n"/>
      <c r="C58" s="42" t="n"/>
    </row>
    <row r="59">
      <c r="A59" s="14" t="inlineStr">
        <is>
          <t>くるみん認定取得状況</t>
        </is>
      </c>
      <c r="B59" s="25" t="n"/>
      <c r="C59" s="43" t="inlineStr">
        <is>
          <t>① くるみん認定
② プラチナくるみん認定
③ トライくるみん認定
④ 認定なし</t>
        </is>
      </c>
    </row>
    <row r="60">
      <c r="A60" s="52" t="n"/>
      <c r="B60" s="51" t="n"/>
      <c r="C60" s="41" t="n"/>
    </row>
    <row r="61">
      <c r="A61" s="14" t="inlineStr">
        <is>
          <t>SECURITY ACTION自己宣言ID</t>
        </is>
      </c>
      <c r="B61" s="58" t="n"/>
      <c r="C61" s="46" t="n"/>
    </row>
    <row r="62">
      <c r="A62" s="19" t="n"/>
      <c r="B62" s="41" t="n"/>
      <c r="C62" s="40" t="n"/>
    </row>
    <row r="63">
      <c r="A63" s="41" t="inlineStr">
        <is>
          <t>◼️前期決算終了時の状況をお教えください</t>
        </is>
      </c>
      <c r="B63" s="41" t="n"/>
      <c r="C63" s="41" t="n"/>
    </row>
    <row r="64">
      <c r="A64" s="14" t="inlineStr">
        <is>
          <t>従業員数：正規雇用</t>
        </is>
      </c>
      <c r="B64" s="21" t="n"/>
      <c r="C64" s="47" t="n"/>
    </row>
    <row r="65">
      <c r="A65" s="36" t="inlineStr">
        <is>
          <t>従業員数：契約社員</t>
        </is>
      </c>
      <c r="B65" s="48" t="n"/>
      <c r="C65" s="49" t="n"/>
    </row>
    <row r="66">
      <c r="A66" s="36" t="inlineStr">
        <is>
          <t>従業員数：パートアルバイト</t>
        </is>
      </c>
      <c r="B66" s="48" t="n"/>
      <c r="C66" s="49" t="n"/>
    </row>
    <row r="67">
      <c r="A67" s="36" t="inlineStr">
        <is>
          <t>年間の平均労働時間</t>
        </is>
      </c>
      <c r="B67" s="50" t="n"/>
      <c r="C67" s="38" t="n"/>
    </row>
    <row r="68">
      <c r="A68" s="52" t="n"/>
      <c r="B68" s="51" t="n"/>
      <c r="C68" s="41" t="n"/>
    </row>
    <row r="69">
      <c r="A69" s="52" t="inlineStr">
        <is>
          <t>【賃上げ計画について】</t>
        </is>
      </c>
      <c r="B69" s="51" t="n"/>
      <c r="C69" s="41" t="n"/>
    </row>
    <row r="70">
      <c r="A70" s="14" t="inlineStr">
        <is>
          <t>事業所内最低賃金時給</t>
        </is>
      </c>
      <c r="B70" s="53" t="n"/>
      <c r="C70" s="26" t="n"/>
    </row>
    <row r="71">
      <c r="A71" s="60" t="n"/>
      <c r="B71" s="51" t="n"/>
      <c r="C71" s="51" t="n"/>
    </row>
    <row r="72">
      <c r="A72" s="54" t="inlineStr">
        <is>
          <t>賃金引上げ計画を、従業員へ表明しましたか？</t>
        </is>
      </c>
      <c r="B72" s="56" t="n"/>
      <c r="C72" s="56" t="inlineStr">
        <is>
          <t>賃上げ表明を行わない場合は、弊社までご相談ください。</t>
        </is>
      </c>
    </row>
    <row r="73">
      <c r="A73" s="60" t="n"/>
      <c r="B73" s="51" t="n"/>
      <c r="C73" s="51" t="n"/>
    </row>
    <row r="74">
      <c r="A74" s="57" t="inlineStr">
        <is>
          <t>賃金引上げ計画</t>
        </is>
      </c>
      <c r="B74" s="58" t="n"/>
      <c r="C74" s="59" t="n"/>
    </row>
    <row r="75">
      <c r="A75" s="60" t="inlineStr">
        <is>
          <t>◼️表明を行った従業員名</t>
        </is>
      </c>
      <c r="B75" s="51" t="n"/>
      <c r="C75" s="51" t="n"/>
    </row>
    <row r="76">
      <c r="A76" s="14" t="inlineStr">
        <is>
          <t>従業員代表者</t>
        </is>
      </c>
      <c r="B76" s="21" t="n"/>
      <c r="C76" s="26" t="n"/>
    </row>
    <row r="77">
      <c r="A77" s="36" t="inlineStr">
        <is>
          <t>給与担当者</t>
        </is>
      </c>
      <c r="B77" s="48" t="n"/>
      <c r="C77" s="38" t="n"/>
    </row>
    <row r="78">
      <c r="A78" s="36" t="inlineStr">
        <is>
          <t>事業所内最低賃金者</t>
        </is>
      </c>
      <c r="B78" s="48" t="n"/>
      <c r="C78" s="38" t="n"/>
    </row>
    <row r="79">
      <c r="A79" s="52" t="n"/>
      <c r="B79" s="41" t="n"/>
      <c r="C79" s="41" t="n"/>
    </row>
    <row r="80">
      <c r="A80" s="61" t="inlineStr">
        <is>
          <t>【インボイス制度対応状況について】</t>
        </is>
      </c>
      <c r="B80" s="66" t="n"/>
      <c r="C80" s="41" t="n"/>
    </row>
    <row r="81">
      <c r="A81" s="63" t="inlineStr">
        <is>
          <t>インボイス制度（適格請求書発行時業者）への登録はお済みでしょうか？</t>
        </is>
      </c>
      <c r="B81" s="64" t="n"/>
    </row>
    <row r="82">
      <c r="A82" s="65" t="inlineStr">
        <is>
          <t>「未登録」の場合、下記についてお答えください</t>
        </is>
      </c>
      <c r="B82" s="66" t="n"/>
    </row>
    <row r="83">
      <c r="A83" s="63" t="inlineStr">
        <is>
          <t>交付申請日から実績報告日までにインボイス登録を行いますか？</t>
        </is>
      </c>
      <c r="B83" s="67" t="n"/>
    </row>
    <row r="84">
      <c r="A84" s="66" t="n"/>
      <c r="B84" s="66" t="n"/>
    </row>
    <row r="85">
      <c r="A85" s="61" t="inlineStr">
        <is>
          <t>【賃金状況について】</t>
        </is>
      </c>
      <c r="B85" s="66" t="n"/>
    </row>
    <row r="86">
      <c r="A86" s="63" t="inlineStr">
        <is>
          <t>指定する一定期間（令和6年10月〜令和7年9月）において当該期間における地域別最低賃金以上～令和7年度改定の地域別最低賃金未満で雇用している従業員数が全従業員の30%以上である月が3ヶ月以上ありますか？</t>
        </is>
      </c>
      <c r="B86" s="64" t="n"/>
    </row>
    <row r="87">
      <c r="A87" s="63" t="inlineStr">
        <is>
          <t>交付申請の直近月における事業場内最低賃金が令和7年7月の事業場内最低賃金+63円以上となっていますか？</t>
        </is>
      </c>
      <c r="B87" s="64" t="n"/>
    </row>
    <row r="88">
      <c r="A88" s="355" t="n"/>
      <c r="B88" s="355" t="n"/>
    </row>
    <row r="89">
      <c r="A89" s="355" t="n"/>
      <c r="B89" s="355" t="n"/>
    </row>
    <row r="90">
      <c r="A90" s="355" t="n"/>
      <c r="B90" s="355" t="n"/>
    </row>
    <row r="91">
      <c r="A91" s="355" t="n"/>
      <c r="B91" s="355" t="n"/>
    </row>
    <row r="92">
      <c r="A92" s="355" t="n"/>
      <c r="B92" s="355" t="n"/>
    </row>
    <row r="93">
      <c r="A93" s="355" t="n"/>
      <c r="B93" s="355" t="n"/>
    </row>
    <row r="94">
      <c r="A94" s="355" t="n"/>
      <c r="B94" s="355" t="n"/>
    </row>
    <row r="95">
      <c r="A95" s="355" t="n"/>
      <c r="B95" s="355" t="n"/>
    </row>
    <row r="96">
      <c r="A96" s="355" t="n"/>
      <c r="B96" s="355" t="n"/>
    </row>
    <row r="97">
      <c r="A97" s="355" t="n"/>
      <c r="B97" s="355" t="n"/>
    </row>
    <row r="98">
      <c r="A98" s="355" t="n"/>
      <c r="B98" s="355" t="n"/>
    </row>
    <row r="99">
      <c r="A99" s="355" t="n"/>
      <c r="B99" s="355" t="n"/>
    </row>
    <row r="100">
      <c r="A100" s="355" t="n"/>
      <c r="B100" s="355" t="n"/>
    </row>
    <row r="101">
      <c r="A101" s="355" t="n"/>
      <c r="B101" s="355" t="n"/>
    </row>
    <row r="102">
      <c r="A102" s="355" t="n"/>
      <c r="B102" s="355" t="n"/>
    </row>
    <row r="103">
      <c r="A103" s="355" t="n"/>
      <c r="B103" s="355" t="n"/>
    </row>
    <row r="104">
      <c r="A104" s="355" t="n"/>
      <c r="B104" s="355" t="n"/>
    </row>
    <row r="105">
      <c r="A105" s="355" t="n"/>
      <c r="B105" s="355" t="n"/>
    </row>
    <row r="106">
      <c r="A106" s="355" t="n"/>
      <c r="B106" s="355" t="n"/>
    </row>
    <row r="107">
      <c r="A107" s="355" t="n"/>
      <c r="B107" s="355" t="n"/>
    </row>
    <row r="108">
      <c r="A108" s="355" t="n"/>
      <c r="B108" s="355" t="n"/>
    </row>
    <row r="109">
      <c r="A109" s="355" t="n"/>
      <c r="B109" s="355" t="n"/>
    </row>
    <row r="110">
      <c r="A110" s="355" t="n"/>
      <c r="B110" s="355" t="n"/>
    </row>
    <row r="111">
      <c r="A111" s="355" t="n"/>
      <c r="B111" s="355" t="n"/>
    </row>
    <row r="112">
      <c r="A112" s="355" t="n"/>
      <c r="B112" s="355" t="n"/>
    </row>
    <row r="113">
      <c r="A113" s="355" t="n"/>
      <c r="B113" s="355" t="n"/>
    </row>
    <row r="114">
      <c r="A114" s="355" t="n"/>
      <c r="B114" s="355" t="n"/>
    </row>
    <row r="115">
      <c r="A115" s="355" t="n"/>
      <c r="B115" s="355" t="n"/>
    </row>
    <row r="116">
      <c r="A116" s="355" t="n"/>
      <c r="B116" s="355" t="n"/>
    </row>
    <row r="117">
      <c r="A117" s="355" t="n"/>
      <c r="B117" s="355" t="n"/>
    </row>
    <row r="118">
      <c r="A118" s="355" t="n"/>
      <c r="B118" s="355" t="n"/>
    </row>
    <row r="119">
      <c r="A119" s="355" t="n"/>
      <c r="B119" s="355" t="n"/>
    </row>
    <row r="120">
      <c r="A120" s="355" t="n"/>
      <c r="B120" s="355" t="n"/>
    </row>
    <row r="121">
      <c r="A121" s="355" t="n"/>
      <c r="B121" s="355" t="n"/>
    </row>
    <row r="122">
      <c r="A122" s="355" t="n"/>
      <c r="B122" s="355" t="n"/>
    </row>
    <row r="123">
      <c r="A123" s="355" t="n"/>
      <c r="B123" s="355" t="n"/>
    </row>
    <row r="124">
      <c r="A124" s="355" t="n"/>
      <c r="B124" s="355" t="n"/>
    </row>
    <row r="125">
      <c r="A125" s="355" t="n"/>
      <c r="B125" s="355" t="n"/>
    </row>
    <row r="126">
      <c r="A126" s="355" t="n"/>
      <c r="B126" s="355" t="n"/>
    </row>
    <row r="127">
      <c r="A127" s="355" t="n"/>
      <c r="B127" s="355" t="n"/>
    </row>
    <row r="128">
      <c r="A128" s="355" t="n"/>
      <c r="B128" s="355" t="n"/>
    </row>
    <row r="129">
      <c r="A129" s="355" t="n"/>
      <c r="B129" s="355" t="n"/>
    </row>
    <row r="130">
      <c r="A130" s="355" t="n"/>
      <c r="B130" s="355" t="n"/>
    </row>
    <row r="131">
      <c r="A131" s="355" t="n"/>
      <c r="B131" s="355" t="n"/>
    </row>
    <row r="132">
      <c r="A132" s="355" t="n"/>
      <c r="B132" s="355" t="n"/>
    </row>
    <row r="133">
      <c r="A133" s="355" t="n"/>
      <c r="B133" s="355" t="n"/>
    </row>
    <row r="134">
      <c r="A134" s="355" t="n"/>
      <c r="B134" s="355" t="n"/>
    </row>
    <row r="135">
      <c r="A135" s="355" t="n"/>
      <c r="B135" s="355" t="n"/>
    </row>
    <row r="136">
      <c r="A136" s="355" t="n"/>
      <c r="B136" s="355" t="n"/>
    </row>
    <row r="137">
      <c r="A137" s="355" t="n"/>
      <c r="B137" s="355" t="n"/>
    </row>
    <row r="138">
      <c r="A138" s="355" t="n"/>
      <c r="B138" s="355" t="n"/>
    </row>
    <row r="139">
      <c r="A139" s="355" t="n"/>
      <c r="B139" s="355" t="n"/>
    </row>
    <row r="140">
      <c r="A140" s="355" t="n"/>
      <c r="B140" s="355" t="n"/>
    </row>
    <row r="141">
      <c r="A141" s="355" t="n"/>
      <c r="B141" s="355" t="n"/>
    </row>
    <row r="142">
      <c r="A142" s="355" t="n"/>
      <c r="B142" s="355" t="n"/>
    </row>
    <row r="143">
      <c r="A143" s="355" t="n"/>
      <c r="B143" s="355" t="n"/>
    </row>
    <row r="144">
      <c r="A144" s="355" t="n"/>
      <c r="B144" s="355" t="n"/>
    </row>
    <row r="145">
      <c r="A145" s="355" t="n"/>
      <c r="B145" s="355" t="n"/>
    </row>
    <row r="146">
      <c r="A146" s="355" t="n"/>
      <c r="B146" s="355" t="n"/>
    </row>
    <row r="147">
      <c r="A147" s="355" t="n"/>
      <c r="B147" s="355" t="n"/>
    </row>
    <row r="148">
      <c r="A148" s="355" t="n"/>
      <c r="B148" s="355" t="n"/>
    </row>
    <row r="149">
      <c r="A149" s="355" t="n"/>
      <c r="B149" s="355" t="n"/>
    </row>
    <row r="150">
      <c r="A150" s="355" t="n"/>
      <c r="B150" s="355" t="n"/>
    </row>
    <row r="151">
      <c r="A151" s="355" t="n"/>
      <c r="B151" s="355" t="n"/>
    </row>
    <row r="152">
      <c r="A152" s="355" t="n"/>
      <c r="B152" s="355" t="n"/>
    </row>
    <row r="153">
      <c r="A153" s="355" t="n"/>
      <c r="B153" s="355" t="n"/>
    </row>
    <row r="154">
      <c r="A154" s="355" t="n"/>
      <c r="B154" s="355" t="n"/>
    </row>
    <row r="155">
      <c r="A155" s="355" t="n"/>
      <c r="B155" s="355" t="n"/>
    </row>
    <row r="156">
      <c r="A156" s="355" t="n"/>
      <c r="B156" s="355" t="n"/>
    </row>
    <row r="157">
      <c r="A157" s="355" t="n"/>
      <c r="B157" s="355" t="n"/>
    </row>
    <row r="158">
      <c r="A158" s="355" t="n"/>
      <c r="B158" s="355" t="n"/>
    </row>
    <row r="159">
      <c r="A159" s="355" t="n"/>
      <c r="B159" s="355" t="n"/>
    </row>
    <row r="160">
      <c r="A160" s="355" t="n"/>
      <c r="B160" s="355" t="n"/>
    </row>
    <row r="161">
      <c r="A161" s="355" t="n"/>
      <c r="B161" s="355" t="n"/>
    </row>
    <row r="162">
      <c r="A162" s="355" t="n"/>
      <c r="B162" s="355" t="n"/>
    </row>
    <row r="163">
      <c r="A163" s="355" t="n"/>
      <c r="B163" s="355" t="n"/>
    </row>
    <row r="164">
      <c r="A164" s="355" t="n"/>
      <c r="B164" s="355" t="n"/>
    </row>
    <row r="165">
      <c r="A165" s="355" t="n"/>
      <c r="B165" s="355" t="n"/>
    </row>
    <row r="166">
      <c r="A166" s="355" t="n"/>
      <c r="B166" s="355" t="n"/>
    </row>
    <row r="167">
      <c r="A167" s="355" t="n"/>
      <c r="B167" s="355" t="n"/>
    </row>
    <row r="168">
      <c r="A168" s="355" t="n"/>
      <c r="B168" s="355" t="n"/>
    </row>
    <row r="169">
      <c r="A169" s="355" t="n"/>
      <c r="B169" s="355" t="n"/>
    </row>
    <row r="170">
      <c r="A170" s="355" t="n"/>
      <c r="B170" s="355" t="n"/>
    </row>
    <row r="171">
      <c r="A171" s="355" t="n"/>
      <c r="B171" s="355" t="n"/>
    </row>
    <row r="172">
      <c r="A172" s="355" t="n"/>
      <c r="B172" s="355" t="n"/>
    </row>
    <row r="173">
      <c r="A173" s="355" t="n"/>
      <c r="B173" s="355" t="n"/>
    </row>
    <row r="174">
      <c r="A174" s="355" t="n"/>
      <c r="B174" s="355" t="n"/>
    </row>
    <row r="175">
      <c r="A175" s="355" t="n"/>
      <c r="B175" s="355" t="n"/>
    </row>
    <row r="176">
      <c r="A176" s="355" t="n"/>
      <c r="B176" s="355" t="n"/>
    </row>
    <row r="177">
      <c r="A177" s="355" t="n"/>
      <c r="B177" s="355" t="n"/>
    </row>
    <row r="178">
      <c r="A178" s="355" t="n"/>
      <c r="B178" s="355" t="n"/>
    </row>
    <row r="179">
      <c r="A179" s="355" t="n"/>
      <c r="B179" s="355" t="n"/>
    </row>
    <row r="180">
      <c r="A180" s="355" t="n"/>
      <c r="B180" s="355" t="n"/>
    </row>
    <row r="181">
      <c r="A181" s="355" t="n"/>
      <c r="B181" s="355" t="n"/>
    </row>
    <row r="182">
      <c r="A182" s="355" t="n"/>
      <c r="B182" s="355" t="n"/>
    </row>
    <row r="183">
      <c r="A183" s="355" t="n"/>
      <c r="B183" s="355" t="n"/>
    </row>
    <row r="184">
      <c r="A184" s="355" t="n"/>
      <c r="B184" s="355" t="n"/>
    </row>
    <row r="185">
      <c r="A185" s="355" t="n"/>
      <c r="B185" s="355" t="n"/>
    </row>
    <row r="186">
      <c r="A186" s="355" t="n"/>
      <c r="B186" s="355" t="n"/>
    </row>
    <row r="187">
      <c r="A187" s="355" t="n"/>
      <c r="B187" s="355" t="n"/>
    </row>
    <row r="188">
      <c r="A188" s="355" t="n"/>
      <c r="B188" s="355" t="n"/>
    </row>
    <row r="189">
      <c r="A189" s="355" t="n"/>
      <c r="B189" s="355" t="n"/>
    </row>
    <row r="190">
      <c r="A190" s="355" t="n"/>
      <c r="B190" s="355" t="n"/>
    </row>
    <row r="191">
      <c r="A191" s="355" t="n"/>
      <c r="B191" s="355" t="n"/>
    </row>
    <row r="192">
      <c r="A192" s="355" t="n"/>
      <c r="B192" s="355" t="n"/>
    </row>
    <row r="193">
      <c r="A193" s="355" t="n"/>
      <c r="B193" s="355" t="n"/>
    </row>
    <row r="194">
      <c r="A194" s="355" t="n"/>
      <c r="B194" s="355" t="n"/>
    </row>
    <row r="195">
      <c r="A195" s="355" t="n"/>
      <c r="B195" s="355" t="n"/>
    </row>
    <row r="196">
      <c r="A196" s="355" t="n"/>
      <c r="B196" s="355" t="n"/>
    </row>
    <row r="197">
      <c r="A197" s="355" t="n"/>
      <c r="B197" s="355" t="n"/>
    </row>
    <row r="198">
      <c r="A198" s="355" t="n"/>
      <c r="B198" s="355" t="n"/>
    </row>
    <row r="199">
      <c r="A199" s="355" t="n"/>
      <c r="B199" s="355" t="n"/>
    </row>
    <row r="200">
      <c r="A200" s="355" t="n"/>
      <c r="B200" s="355" t="n"/>
    </row>
    <row r="201">
      <c r="A201" s="355" t="n"/>
      <c r="B201" s="355" t="n"/>
    </row>
    <row r="202">
      <c r="A202" s="355" t="n"/>
      <c r="B202" s="355" t="n"/>
    </row>
    <row r="203">
      <c r="A203" s="355" t="n"/>
      <c r="B203" s="355" t="n"/>
    </row>
    <row r="204">
      <c r="A204" s="355" t="n"/>
      <c r="B204" s="355" t="n"/>
    </row>
    <row r="205">
      <c r="A205" s="355" t="n"/>
      <c r="B205" s="355" t="n"/>
    </row>
    <row r="206">
      <c r="A206" s="355" t="n"/>
      <c r="B206" s="355" t="n"/>
    </row>
    <row r="207">
      <c r="A207" s="355" t="n"/>
      <c r="B207" s="355" t="n"/>
    </row>
    <row r="208">
      <c r="A208" s="355" t="n"/>
      <c r="B208" s="355" t="n"/>
    </row>
    <row r="209">
      <c r="A209" s="355" t="n"/>
      <c r="B209" s="355" t="n"/>
    </row>
    <row r="210">
      <c r="A210" s="355" t="n"/>
      <c r="B210" s="355" t="n"/>
    </row>
    <row r="211">
      <c r="A211" s="355" t="n"/>
      <c r="B211" s="355" t="n"/>
    </row>
    <row r="212">
      <c r="A212" s="355" t="n"/>
      <c r="B212" s="355" t="n"/>
    </row>
    <row r="213">
      <c r="A213" s="355" t="n"/>
      <c r="B213" s="355" t="n"/>
    </row>
    <row r="214">
      <c r="A214" s="355" t="n"/>
      <c r="B214" s="355" t="n"/>
    </row>
    <row r="215">
      <c r="A215" s="355" t="n"/>
      <c r="B215" s="355" t="n"/>
    </row>
    <row r="216">
      <c r="A216" s="355" t="n"/>
      <c r="B216" s="355" t="n"/>
    </row>
    <row r="217">
      <c r="A217" s="355" t="n"/>
      <c r="B217" s="355" t="n"/>
    </row>
    <row r="218">
      <c r="A218" s="355" t="n"/>
      <c r="B218" s="355" t="n"/>
    </row>
    <row r="219">
      <c r="A219" s="355" t="n"/>
      <c r="B219" s="355" t="n"/>
    </row>
    <row r="220">
      <c r="A220" s="355" t="n"/>
      <c r="B220" s="355" t="n"/>
    </row>
    <row r="221">
      <c r="A221" s="355" t="n"/>
      <c r="B221" s="355" t="n"/>
    </row>
    <row r="222">
      <c r="A222" s="355" t="n"/>
      <c r="B222" s="355" t="n"/>
    </row>
    <row r="223">
      <c r="A223" s="355" t="n"/>
      <c r="B223" s="355" t="n"/>
    </row>
    <row r="224">
      <c r="A224" s="355" t="n"/>
      <c r="B224" s="355" t="n"/>
    </row>
    <row r="225">
      <c r="A225" s="355" t="n"/>
      <c r="B225" s="355" t="n"/>
    </row>
    <row r="226">
      <c r="A226" s="355" t="n"/>
      <c r="B226" s="355" t="n"/>
    </row>
    <row r="227">
      <c r="A227" s="355" t="n"/>
      <c r="B227" s="355" t="n"/>
    </row>
    <row r="228">
      <c r="A228" s="355" t="n"/>
      <c r="B228" s="355" t="n"/>
    </row>
    <row r="229">
      <c r="A229" s="355" t="n"/>
      <c r="B229" s="355" t="n"/>
    </row>
    <row r="230">
      <c r="A230" s="355" t="n"/>
      <c r="B230" s="355" t="n"/>
    </row>
    <row r="231">
      <c r="A231" s="355" t="n"/>
      <c r="B231" s="355" t="n"/>
    </row>
    <row r="232">
      <c r="A232" s="355" t="n"/>
      <c r="B232" s="355" t="n"/>
    </row>
    <row r="233">
      <c r="A233" s="355" t="n"/>
      <c r="B233" s="355" t="n"/>
    </row>
    <row r="234">
      <c r="A234" s="355" t="n"/>
      <c r="B234" s="355" t="n"/>
    </row>
    <row r="235">
      <c r="A235" s="355" t="n"/>
      <c r="B235" s="355" t="n"/>
    </row>
    <row r="236">
      <c r="A236" s="355" t="n"/>
      <c r="B236" s="355" t="n"/>
    </row>
    <row r="237">
      <c r="A237" s="355" t="n"/>
      <c r="B237" s="355" t="n"/>
    </row>
    <row r="238">
      <c r="A238" s="355" t="n"/>
      <c r="B238" s="355" t="n"/>
    </row>
    <row r="239">
      <c r="A239" s="355" t="n"/>
      <c r="B239" s="355" t="n"/>
    </row>
    <row r="240">
      <c r="A240" s="355" t="n"/>
      <c r="B240" s="355" t="n"/>
    </row>
    <row r="241">
      <c r="A241" s="355" t="n"/>
      <c r="B241" s="355" t="n"/>
    </row>
    <row r="242">
      <c r="A242" s="355" t="n"/>
      <c r="B242" s="355" t="n"/>
    </row>
    <row r="243">
      <c r="A243" s="355" t="n"/>
      <c r="B243" s="355" t="n"/>
    </row>
    <row r="244">
      <c r="A244" s="355" t="n"/>
      <c r="B244" s="355" t="n"/>
    </row>
    <row r="245">
      <c r="A245" s="355" t="n"/>
      <c r="B245" s="355" t="n"/>
    </row>
    <row r="246">
      <c r="A246" s="355" t="n"/>
      <c r="B246" s="355" t="n"/>
    </row>
    <row r="247">
      <c r="A247" s="355" t="n"/>
      <c r="B247" s="355" t="n"/>
    </row>
    <row r="248">
      <c r="A248" s="355" t="n"/>
      <c r="B248" s="355" t="n"/>
    </row>
    <row r="249">
      <c r="A249" s="355" t="n"/>
      <c r="B249" s="355" t="n"/>
    </row>
    <row r="250">
      <c r="A250" s="355" t="n"/>
      <c r="B250" s="355" t="n"/>
    </row>
    <row r="251">
      <c r="A251" s="355" t="n"/>
      <c r="B251" s="355" t="n"/>
    </row>
    <row r="252">
      <c r="A252" s="355" t="n"/>
      <c r="B252" s="355" t="n"/>
    </row>
    <row r="253">
      <c r="A253" s="355" t="n"/>
      <c r="B253" s="355" t="n"/>
    </row>
    <row r="254">
      <c r="A254" s="355" t="n"/>
      <c r="B254" s="355" t="n"/>
    </row>
    <row r="255">
      <c r="A255" s="355" t="n"/>
      <c r="B255" s="355" t="n"/>
    </row>
    <row r="256">
      <c r="A256" s="355" t="n"/>
      <c r="B256" s="355" t="n"/>
    </row>
    <row r="257">
      <c r="A257" s="355" t="n"/>
      <c r="B257" s="355" t="n"/>
    </row>
    <row r="258">
      <c r="A258" s="355" t="n"/>
      <c r="B258" s="355" t="n"/>
    </row>
    <row r="259">
      <c r="A259" s="355" t="n"/>
      <c r="B259" s="355" t="n"/>
    </row>
    <row r="260">
      <c r="A260" s="355" t="n"/>
      <c r="B260" s="355" t="n"/>
    </row>
    <row r="261">
      <c r="A261" s="355" t="n"/>
      <c r="B261" s="355" t="n"/>
    </row>
    <row r="262">
      <c r="A262" s="355" t="n"/>
      <c r="B262" s="355" t="n"/>
    </row>
    <row r="263">
      <c r="A263" s="355" t="n"/>
      <c r="B263" s="355" t="n"/>
    </row>
    <row r="264">
      <c r="A264" s="355" t="n"/>
      <c r="B264" s="355" t="n"/>
    </row>
    <row r="265">
      <c r="A265" s="355" t="n"/>
      <c r="B265" s="355" t="n"/>
    </row>
    <row r="266">
      <c r="A266" s="355" t="n"/>
      <c r="B266" s="355" t="n"/>
    </row>
    <row r="267">
      <c r="A267" s="355" t="n"/>
      <c r="B267" s="355" t="n"/>
    </row>
    <row r="268">
      <c r="A268" s="355" t="n"/>
      <c r="B268" s="355" t="n"/>
    </row>
    <row r="269">
      <c r="A269" s="355" t="n"/>
      <c r="B269" s="355" t="n"/>
    </row>
    <row r="270">
      <c r="A270" s="355" t="n"/>
      <c r="B270" s="355" t="n"/>
    </row>
    <row r="271">
      <c r="A271" s="355" t="n"/>
      <c r="B271" s="355" t="n"/>
    </row>
    <row r="272">
      <c r="A272" s="355" t="n"/>
      <c r="B272" s="355" t="n"/>
    </row>
    <row r="273">
      <c r="A273" s="355" t="n"/>
      <c r="B273" s="355" t="n"/>
    </row>
    <row r="274">
      <c r="A274" s="355" t="n"/>
      <c r="B274" s="355" t="n"/>
    </row>
    <row r="275">
      <c r="A275" s="355" t="n"/>
      <c r="B275" s="355" t="n"/>
    </row>
    <row r="276">
      <c r="A276" s="355" t="n"/>
      <c r="B276" s="355" t="n"/>
    </row>
    <row r="277">
      <c r="A277" s="355" t="n"/>
      <c r="B277" s="355" t="n"/>
    </row>
    <row r="278">
      <c r="A278" s="355" t="n"/>
      <c r="B278" s="355" t="n"/>
    </row>
    <row r="279">
      <c r="A279" s="355" t="n"/>
      <c r="B279" s="355" t="n"/>
    </row>
    <row r="280">
      <c r="A280" s="355" t="n"/>
      <c r="B280" s="355" t="n"/>
    </row>
    <row r="281">
      <c r="A281" s="355" t="n"/>
      <c r="B281" s="355" t="n"/>
    </row>
    <row r="282">
      <c r="A282" s="355" t="n"/>
      <c r="B282" s="355" t="n"/>
    </row>
    <row r="283">
      <c r="A283" s="355" t="n"/>
      <c r="B283" s="355" t="n"/>
    </row>
    <row r="284">
      <c r="A284" s="355" t="n"/>
      <c r="B284" s="355" t="n"/>
    </row>
    <row r="285">
      <c r="A285" s="355" t="n"/>
      <c r="B285" s="355" t="n"/>
    </row>
    <row r="286">
      <c r="A286" s="355" t="n"/>
      <c r="B286" s="355" t="n"/>
    </row>
    <row r="287">
      <c r="A287" s="355" t="n"/>
      <c r="B287" s="355" t="n"/>
    </row>
    <row r="288">
      <c r="A288" s="355" t="n"/>
      <c r="B288" s="355" t="n"/>
    </row>
    <row r="289">
      <c r="A289" s="355" t="n"/>
      <c r="B289" s="355" t="n"/>
    </row>
    <row r="290">
      <c r="A290" s="355" t="n"/>
      <c r="B290" s="355" t="n"/>
    </row>
    <row r="291">
      <c r="A291" s="355" t="n"/>
      <c r="B291" s="355" t="n"/>
    </row>
    <row r="292">
      <c r="A292" s="355" t="n"/>
      <c r="B292" s="355" t="n"/>
    </row>
    <row r="293">
      <c r="A293" s="355" t="n"/>
      <c r="B293" s="355" t="n"/>
    </row>
    <row r="294">
      <c r="A294" s="355" t="n"/>
      <c r="B294" s="355" t="n"/>
    </row>
    <row r="295">
      <c r="A295" s="355" t="n"/>
      <c r="B295" s="355" t="n"/>
    </row>
    <row r="296">
      <c r="A296" s="355" t="n"/>
      <c r="B296" s="355" t="n"/>
    </row>
    <row r="297">
      <c r="A297" s="355" t="n"/>
      <c r="B297" s="355" t="n"/>
    </row>
    <row r="298">
      <c r="A298" s="355" t="n"/>
      <c r="B298" s="355" t="n"/>
    </row>
    <row r="299">
      <c r="A299" s="355" t="n"/>
      <c r="B299" s="355" t="n"/>
    </row>
    <row r="300">
      <c r="A300" s="355" t="n"/>
      <c r="B300" s="355" t="n"/>
    </row>
    <row r="301">
      <c r="A301" s="355" t="n"/>
      <c r="B301" s="355" t="n"/>
    </row>
    <row r="302">
      <c r="A302" s="355" t="n"/>
      <c r="B302" s="355" t="n"/>
    </row>
    <row r="303">
      <c r="A303" s="355" t="n"/>
      <c r="B303" s="355" t="n"/>
    </row>
    <row r="304">
      <c r="A304" s="355" t="n"/>
      <c r="B304" s="355" t="n"/>
    </row>
    <row r="305">
      <c r="A305" s="355" t="n"/>
      <c r="B305" s="355" t="n"/>
    </row>
    <row r="306">
      <c r="A306" s="355" t="n"/>
      <c r="B306" s="355" t="n"/>
    </row>
    <row r="307">
      <c r="A307" s="355" t="n"/>
      <c r="B307" s="355" t="n"/>
    </row>
    <row r="308">
      <c r="A308" s="355" t="n"/>
      <c r="B308" s="355" t="n"/>
    </row>
    <row r="309">
      <c r="A309" s="355" t="n"/>
      <c r="B309" s="355" t="n"/>
    </row>
    <row r="310">
      <c r="A310" s="355" t="n"/>
      <c r="B310" s="355" t="n"/>
    </row>
    <row r="311">
      <c r="A311" s="355" t="n"/>
      <c r="B311" s="355" t="n"/>
    </row>
    <row r="312">
      <c r="A312" s="355" t="n"/>
      <c r="B312" s="355" t="n"/>
    </row>
    <row r="313">
      <c r="A313" s="355" t="n"/>
      <c r="B313" s="355" t="n"/>
    </row>
    <row r="314">
      <c r="A314" s="355" t="n"/>
      <c r="B314" s="355" t="n"/>
    </row>
    <row r="315">
      <c r="A315" s="355" t="n"/>
      <c r="B315" s="355" t="n"/>
    </row>
    <row r="316">
      <c r="A316" s="355" t="n"/>
      <c r="B316" s="355" t="n"/>
    </row>
    <row r="317">
      <c r="A317" s="355" t="n"/>
      <c r="B317" s="355" t="n"/>
    </row>
    <row r="318">
      <c r="A318" s="355" t="n"/>
      <c r="B318" s="355" t="n"/>
    </row>
    <row r="319">
      <c r="A319" s="355" t="n"/>
      <c r="B319" s="355" t="n"/>
    </row>
    <row r="320">
      <c r="A320" s="355" t="n"/>
      <c r="B320" s="355" t="n"/>
    </row>
    <row r="321">
      <c r="A321" s="355" t="n"/>
      <c r="B321" s="355" t="n"/>
    </row>
    <row r="322">
      <c r="A322" s="355" t="n"/>
      <c r="B322" s="355" t="n"/>
    </row>
    <row r="323">
      <c r="A323" s="355" t="n"/>
      <c r="B323" s="355" t="n"/>
    </row>
    <row r="324">
      <c r="A324" s="355" t="n"/>
      <c r="B324" s="355" t="n"/>
    </row>
    <row r="325">
      <c r="A325" s="355" t="n"/>
      <c r="B325" s="355" t="n"/>
    </row>
    <row r="326">
      <c r="A326" s="355" t="n"/>
      <c r="B326" s="355" t="n"/>
    </row>
    <row r="327">
      <c r="A327" s="355" t="n"/>
      <c r="B327" s="355" t="n"/>
    </row>
    <row r="328">
      <c r="A328" s="355" t="n"/>
      <c r="B328" s="355" t="n"/>
    </row>
    <row r="329">
      <c r="A329" s="355" t="n"/>
      <c r="B329" s="355" t="n"/>
    </row>
    <row r="330">
      <c r="A330" s="355" t="n"/>
      <c r="B330" s="355" t="n"/>
    </row>
    <row r="331">
      <c r="A331" s="355" t="n"/>
      <c r="B331" s="355" t="n"/>
    </row>
    <row r="332">
      <c r="A332" s="355" t="n"/>
      <c r="B332" s="355" t="n"/>
    </row>
    <row r="333">
      <c r="A333" s="355" t="n"/>
      <c r="B333" s="355" t="n"/>
    </row>
    <row r="334">
      <c r="A334" s="355" t="n"/>
      <c r="B334" s="355" t="n"/>
    </row>
    <row r="335">
      <c r="A335" s="355" t="n"/>
      <c r="B335" s="355" t="n"/>
    </row>
    <row r="336">
      <c r="A336" s="355" t="n"/>
      <c r="B336" s="355" t="n"/>
    </row>
    <row r="337">
      <c r="A337" s="355" t="n"/>
      <c r="B337" s="355" t="n"/>
    </row>
    <row r="338">
      <c r="A338" s="355" t="n"/>
      <c r="B338" s="355" t="n"/>
    </row>
    <row r="339">
      <c r="A339" s="355" t="n"/>
      <c r="B339" s="355" t="n"/>
    </row>
    <row r="340">
      <c r="A340" s="355" t="n"/>
      <c r="B340" s="355" t="n"/>
    </row>
    <row r="341">
      <c r="A341" s="355" t="n"/>
      <c r="B341" s="355" t="n"/>
    </row>
    <row r="342">
      <c r="A342" s="355" t="n"/>
      <c r="B342" s="355" t="n"/>
    </row>
    <row r="343">
      <c r="A343" s="355" t="n"/>
      <c r="B343" s="355" t="n"/>
    </row>
    <row r="344">
      <c r="A344" s="355" t="n"/>
      <c r="B344" s="355" t="n"/>
    </row>
    <row r="345">
      <c r="A345" s="355" t="n"/>
      <c r="B345" s="355" t="n"/>
    </row>
    <row r="346">
      <c r="A346" s="355" t="n"/>
      <c r="B346" s="355" t="n"/>
    </row>
    <row r="347">
      <c r="A347" s="355" t="n"/>
      <c r="B347" s="355" t="n"/>
    </row>
    <row r="348">
      <c r="A348" s="355" t="n"/>
      <c r="B348" s="355" t="n"/>
    </row>
    <row r="349">
      <c r="A349" s="355" t="n"/>
      <c r="B349" s="355" t="n"/>
    </row>
    <row r="350">
      <c r="A350" s="355" t="n"/>
      <c r="B350" s="355" t="n"/>
    </row>
    <row r="351">
      <c r="A351" s="355" t="n"/>
      <c r="B351" s="355" t="n"/>
    </row>
    <row r="352">
      <c r="A352" s="355" t="n"/>
      <c r="B352" s="355" t="n"/>
    </row>
    <row r="353">
      <c r="A353" s="355" t="n"/>
      <c r="B353" s="355" t="n"/>
    </row>
    <row r="354">
      <c r="A354" s="355" t="n"/>
      <c r="B354" s="355" t="n"/>
    </row>
    <row r="355">
      <c r="A355" s="355" t="n"/>
      <c r="B355" s="355" t="n"/>
    </row>
    <row r="356">
      <c r="A356" s="355" t="n"/>
      <c r="B356" s="355" t="n"/>
    </row>
    <row r="357">
      <c r="A357" s="355" t="n"/>
      <c r="B357" s="355" t="n"/>
    </row>
    <row r="358">
      <c r="A358" s="355" t="n"/>
      <c r="B358" s="355" t="n"/>
    </row>
    <row r="359">
      <c r="A359" s="355" t="n"/>
      <c r="B359" s="355" t="n"/>
    </row>
    <row r="360">
      <c r="A360" s="355" t="n"/>
      <c r="B360" s="355" t="n"/>
    </row>
    <row r="361">
      <c r="A361" s="355" t="n"/>
      <c r="B361" s="355" t="n"/>
    </row>
    <row r="362">
      <c r="A362" s="355" t="n"/>
      <c r="B362" s="355" t="n"/>
    </row>
    <row r="363">
      <c r="A363" s="355" t="n"/>
      <c r="B363" s="355" t="n"/>
    </row>
    <row r="364">
      <c r="A364" s="355" t="n"/>
      <c r="B364" s="355" t="n"/>
    </row>
    <row r="365">
      <c r="A365" s="355" t="n"/>
      <c r="B365" s="355" t="n"/>
    </row>
    <row r="366">
      <c r="A366" s="355" t="n"/>
      <c r="B366" s="355" t="n"/>
    </row>
    <row r="367">
      <c r="A367" s="355" t="n"/>
      <c r="B367" s="355" t="n"/>
    </row>
    <row r="368">
      <c r="A368" s="355" t="n"/>
      <c r="B368" s="355" t="n"/>
    </row>
    <row r="369">
      <c r="A369" s="355" t="n"/>
      <c r="B369" s="355" t="n"/>
    </row>
    <row r="370">
      <c r="A370" s="355" t="n"/>
      <c r="B370" s="355" t="n"/>
    </row>
    <row r="371">
      <c r="A371" s="355" t="n"/>
      <c r="B371" s="355" t="n"/>
    </row>
    <row r="372">
      <c r="A372" s="355" t="n"/>
      <c r="B372" s="355" t="n"/>
    </row>
    <row r="373">
      <c r="A373" s="355" t="n"/>
      <c r="B373" s="355" t="n"/>
    </row>
    <row r="374">
      <c r="A374" s="355" t="n"/>
      <c r="B374" s="355" t="n"/>
    </row>
    <row r="375">
      <c r="A375" s="355" t="n"/>
      <c r="B375" s="355" t="n"/>
    </row>
    <row r="376">
      <c r="A376" s="355" t="n"/>
      <c r="B376" s="355" t="n"/>
    </row>
    <row r="377">
      <c r="A377" s="355" t="n"/>
      <c r="B377" s="355" t="n"/>
    </row>
    <row r="378">
      <c r="A378" s="355" t="n"/>
      <c r="B378" s="355" t="n"/>
    </row>
    <row r="379">
      <c r="A379" s="355" t="n"/>
      <c r="B379" s="355" t="n"/>
    </row>
    <row r="380">
      <c r="A380" s="355" t="n"/>
      <c r="B380" s="355" t="n"/>
    </row>
    <row r="381">
      <c r="A381" s="355" t="n"/>
      <c r="B381" s="355" t="n"/>
    </row>
    <row r="382">
      <c r="A382" s="355" t="n"/>
      <c r="B382" s="355" t="n"/>
    </row>
    <row r="383">
      <c r="A383" s="355" t="n"/>
      <c r="B383" s="355" t="n"/>
    </row>
    <row r="384">
      <c r="A384" s="355" t="n"/>
      <c r="B384" s="355" t="n"/>
    </row>
    <row r="385">
      <c r="A385" s="355" t="n"/>
      <c r="B385" s="355" t="n"/>
    </row>
    <row r="386">
      <c r="A386" s="355" t="n"/>
      <c r="B386" s="355" t="n"/>
    </row>
    <row r="387">
      <c r="A387" s="355" t="n"/>
      <c r="B387" s="355" t="n"/>
    </row>
    <row r="388">
      <c r="A388" s="355" t="n"/>
      <c r="B388" s="355" t="n"/>
    </row>
    <row r="389">
      <c r="A389" s="355" t="n"/>
      <c r="B389" s="355" t="n"/>
    </row>
    <row r="390">
      <c r="A390" s="355" t="n"/>
      <c r="B390" s="355" t="n"/>
    </row>
    <row r="391">
      <c r="A391" s="355" t="n"/>
      <c r="B391" s="355" t="n"/>
    </row>
    <row r="392">
      <c r="A392" s="355" t="n"/>
      <c r="B392" s="355" t="n"/>
    </row>
    <row r="393">
      <c r="A393" s="355" t="n"/>
      <c r="B393" s="355" t="n"/>
    </row>
    <row r="394">
      <c r="A394" s="355" t="n"/>
      <c r="B394" s="355" t="n"/>
    </row>
    <row r="395">
      <c r="A395" s="355" t="n"/>
      <c r="B395" s="355" t="n"/>
    </row>
    <row r="396">
      <c r="A396" s="355" t="n"/>
      <c r="B396" s="355" t="n"/>
    </row>
    <row r="397">
      <c r="A397" s="355" t="n"/>
      <c r="B397" s="355" t="n"/>
    </row>
    <row r="398">
      <c r="A398" s="355" t="n"/>
      <c r="B398" s="355" t="n"/>
    </row>
    <row r="399">
      <c r="A399" s="355" t="n"/>
      <c r="B399" s="355" t="n"/>
    </row>
    <row r="400">
      <c r="A400" s="355" t="n"/>
      <c r="B400" s="355" t="n"/>
    </row>
    <row r="401">
      <c r="A401" s="355" t="n"/>
      <c r="B401" s="355" t="n"/>
    </row>
    <row r="402">
      <c r="A402" s="355" t="n"/>
      <c r="B402" s="355" t="n"/>
    </row>
    <row r="403">
      <c r="A403" s="355" t="n"/>
      <c r="B403" s="355" t="n"/>
    </row>
    <row r="404">
      <c r="A404" s="355" t="n"/>
      <c r="B404" s="355" t="n"/>
    </row>
    <row r="405">
      <c r="A405" s="355" t="n"/>
      <c r="B405" s="355" t="n"/>
    </row>
    <row r="406">
      <c r="A406" s="355" t="n"/>
      <c r="B406" s="355" t="n"/>
    </row>
    <row r="407">
      <c r="A407" s="355" t="n"/>
      <c r="B407" s="355" t="n"/>
    </row>
    <row r="408">
      <c r="A408" s="355" t="n"/>
      <c r="B408" s="355" t="n"/>
    </row>
    <row r="409">
      <c r="A409" s="355" t="n"/>
      <c r="B409" s="355" t="n"/>
    </row>
    <row r="410">
      <c r="A410" s="355" t="n"/>
      <c r="B410" s="355" t="n"/>
    </row>
    <row r="411">
      <c r="A411" s="355" t="n"/>
      <c r="B411" s="355" t="n"/>
    </row>
    <row r="412">
      <c r="A412" s="355" t="n"/>
      <c r="B412" s="355" t="n"/>
    </row>
    <row r="413">
      <c r="A413" s="355" t="n"/>
      <c r="B413" s="355" t="n"/>
    </row>
    <row r="414">
      <c r="A414" s="355" t="n"/>
      <c r="B414" s="355" t="n"/>
    </row>
    <row r="415">
      <c r="A415" s="355" t="n"/>
      <c r="B415" s="355" t="n"/>
    </row>
    <row r="416">
      <c r="A416" s="355" t="n"/>
      <c r="B416" s="355" t="n"/>
    </row>
    <row r="417">
      <c r="A417" s="355" t="n"/>
      <c r="B417" s="355" t="n"/>
    </row>
    <row r="418">
      <c r="A418" s="355" t="n"/>
      <c r="B418" s="355" t="n"/>
    </row>
    <row r="419">
      <c r="A419" s="355" t="n"/>
      <c r="B419" s="355" t="n"/>
    </row>
    <row r="420">
      <c r="A420" s="355" t="n"/>
      <c r="B420" s="355" t="n"/>
    </row>
    <row r="421">
      <c r="A421" s="355" t="n"/>
      <c r="B421" s="355" t="n"/>
    </row>
    <row r="422">
      <c r="A422" s="355" t="n"/>
      <c r="B422" s="355" t="n"/>
    </row>
    <row r="423">
      <c r="A423" s="355" t="n"/>
      <c r="B423" s="355" t="n"/>
    </row>
    <row r="424">
      <c r="A424" s="355" t="n"/>
      <c r="B424" s="355" t="n"/>
    </row>
    <row r="425">
      <c r="A425" s="355" t="n"/>
      <c r="B425" s="355" t="n"/>
    </row>
    <row r="426">
      <c r="A426" s="355" t="n"/>
      <c r="B426" s="355" t="n"/>
    </row>
    <row r="427">
      <c r="A427" s="355" t="n"/>
      <c r="B427" s="355" t="n"/>
    </row>
    <row r="428">
      <c r="A428" s="355" t="n"/>
      <c r="B428" s="355" t="n"/>
    </row>
    <row r="429">
      <c r="A429" s="355" t="n"/>
      <c r="B429" s="355" t="n"/>
    </row>
    <row r="430">
      <c r="A430" s="355" t="n"/>
      <c r="B430" s="355" t="n"/>
    </row>
    <row r="431">
      <c r="A431" s="355" t="n"/>
      <c r="B431" s="355" t="n"/>
    </row>
    <row r="432">
      <c r="A432" s="355" t="n"/>
      <c r="B432" s="355" t="n"/>
    </row>
    <row r="433">
      <c r="A433" s="355" t="n"/>
      <c r="B433" s="355" t="n"/>
    </row>
    <row r="434">
      <c r="A434" s="355" t="n"/>
      <c r="B434" s="355" t="n"/>
    </row>
    <row r="435">
      <c r="A435" s="355" t="n"/>
      <c r="B435" s="355" t="n"/>
    </row>
    <row r="436">
      <c r="A436" s="355" t="n"/>
      <c r="B436" s="355" t="n"/>
    </row>
    <row r="437">
      <c r="A437" s="355" t="n"/>
      <c r="B437" s="355" t="n"/>
    </row>
    <row r="438">
      <c r="A438" s="355" t="n"/>
      <c r="B438" s="355" t="n"/>
    </row>
    <row r="439">
      <c r="A439" s="355" t="n"/>
      <c r="B439" s="355" t="n"/>
    </row>
    <row r="440">
      <c r="A440" s="355" t="n"/>
      <c r="B440" s="355" t="n"/>
    </row>
    <row r="441">
      <c r="A441" s="355" t="n"/>
      <c r="B441" s="355" t="n"/>
    </row>
    <row r="442">
      <c r="A442" s="355" t="n"/>
      <c r="B442" s="355" t="n"/>
    </row>
    <row r="443">
      <c r="A443" s="355" t="n"/>
      <c r="B443" s="355" t="n"/>
    </row>
    <row r="444">
      <c r="A444" s="355" t="n"/>
      <c r="B444" s="355" t="n"/>
    </row>
    <row r="445">
      <c r="A445" s="355" t="n"/>
      <c r="B445" s="355" t="n"/>
    </row>
    <row r="446">
      <c r="A446" s="355" t="n"/>
      <c r="B446" s="355" t="n"/>
    </row>
    <row r="447">
      <c r="A447" s="355" t="n"/>
      <c r="B447" s="355" t="n"/>
    </row>
    <row r="448">
      <c r="A448" s="355" t="n"/>
      <c r="B448" s="355" t="n"/>
    </row>
    <row r="449">
      <c r="A449" s="355" t="n"/>
      <c r="B449" s="355" t="n"/>
    </row>
    <row r="450">
      <c r="A450" s="355" t="n"/>
      <c r="B450" s="355" t="n"/>
    </row>
    <row r="451">
      <c r="A451" s="355" t="n"/>
      <c r="B451" s="355" t="n"/>
    </row>
    <row r="452">
      <c r="A452" s="355" t="n"/>
      <c r="B452" s="355" t="n"/>
    </row>
    <row r="453">
      <c r="A453" s="355" t="n"/>
      <c r="B453" s="355" t="n"/>
    </row>
    <row r="454">
      <c r="A454" s="355" t="n"/>
      <c r="B454" s="355" t="n"/>
    </row>
    <row r="455">
      <c r="A455" s="355" t="n"/>
      <c r="B455" s="355" t="n"/>
    </row>
    <row r="456">
      <c r="A456" s="355" t="n"/>
      <c r="B456" s="355" t="n"/>
    </row>
    <row r="457">
      <c r="A457" s="355" t="n"/>
      <c r="B457" s="355" t="n"/>
    </row>
    <row r="458">
      <c r="A458" s="355" t="n"/>
      <c r="B458" s="355" t="n"/>
    </row>
    <row r="459">
      <c r="A459" s="355" t="n"/>
      <c r="B459" s="355" t="n"/>
    </row>
    <row r="460">
      <c r="A460" s="355" t="n"/>
      <c r="B460" s="355" t="n"/>
    </row>
    <row r="461">
      <c r="A461" s="355" t="n"/>
      <c r="B461" s="355" t="n"/>
    </row>
    <row r="462">
      <c r="A462" s="355" t="n"/>
      <c r="B462" s="355" t="n"/>
    </row>
    <row r="463">
      <c r="A463" s="355" t="n"/>
      <c r="B463" s="355" t="n"/>
    </row>
    <row r="464">
      <c r="A464" s="355" t="n"/>
      <c r="B464" s="355" t="n"/>
    </row>
    <row r="465">
      <c r="A465" s="355" t="n"/>
      <c r="B465" s="355" t="n"/>
    </row>
    <row r="466">
      <c r="A466" s="355" t="n"/>
      <c r="B466" s="355" t="n"/>
    </row>
    <row r="467">
      <c r="A467" s="355" t="n"/>
      <c r="B467" s="355" t="n"/>
    </row>
    <row r="468">
      <c r="A468" s="355" t="n"/>
      <c r="B468" s="355" t="n"/>
    </row>
    <row r="469">
      <c r="A469" s="355" t="n"/>
      <c r="B469" s="355" t="n"/>
    </row>
    <row r="470">
      <c r="A470" s="355" t="n"/>
      <c r="B470" s="355" t="n"/>
    </row>
    <row r="471">
      <c r="A471" s="355" t="n"/>
      <c r="B471" s="355" t="n"/>
    </row>
    <row r="472">
      <c r="A472" s="355" t="n"/>
      <c r="B472" s="355" t="n"/>
    </row>
    <row r="473">
      <c r="A473" s="355" t="n"/>
      <c r="B473" s="355" t="n"/>
    </row>
    <row r="474">
      <c r="A474" s="355" t="n"/>
      <c r="B474" s="355" t="n"/>
    </row>
    <row r="475">
      <c r="A475" s="355" t="n"/>
      <c r="B475" s="355" t="n"/>
    </row>
    <row r="476">
      <c r="A476" s="355" t="n"/>
      <c r="B476" s="355" t="n"/>
    </row>
    <row r="477">
      <c r="A477" s="355" t="n"/>
      <c r="B477" s="355" t="n"/>
    </row>
    <row r="478">
      <c r="A478" s="355" t="n"/>
      <c r="B478" s="355" t="n"/>
    </row>
    <row r="479">
      <c r="A479" s="355" t="n"/>
      <c r="B479" s="355" t="n"/>
    </row>
    <row r="480">
      <c r="A480" s="355" t="n"/>
      <c r="B480" s="355" t="n"/>
    </row>
    <row r="481">
      <c r="A481" s="355" t="n"/>
      <c r="B481" s="355" t="n"/>
    </row>
    <row r="482">
      <c r="A482" s="355" t="n"/>
      <c r="B482" s="355" t="n"/>
    </row>
    <row r="483">
      <c r="A483" s="355" t="n"/>
      <c r="B483" s="355" t="n"/>
    </row>
    <row r="484">
      <c r="A484" s="355" t="n"/>
      <c r="B484" s="355" t="n"/>
    </row>
    <row r="485">
      <c r="A485" s="355" t="n"/>
      <c r="B485" s="355" t="n"/>
    </row>
    <row r="486">
      <c r="A486" s="355" t="n"/>
      <c r="B486" s="355" t="n"/>
    </row>
    <row r="487">
      <c r="A487" s="355" t="n"/>
      <c r="B487" s="355" t="n"/>
    </row>
    <row r="488">
      <c r="A488" s="355" t="n"/>
      <c r="B488" s="355" t="n"/>
    </row>
    <row r="489">
      <c r="A489" s="355" t="n"/>
      <c r="B489" s="355" t="n"/>
    </row>
    <row r="490">
      <c r="A490" s="355" t="n"/>
      <c r="B490" s="355" t="n"/>
    </row>
    <row r="491">
      <c r="A491" s="355" t="n"/>
      <c r="B491" s="355" t="n"/>
    </row>
    <row r="492">
      <c r="A492" s="355" t="n"/>
      <c r="B492" s="355" t="n"/>
    </row>
    <row r="493">
      <c r="A493" s="355" t="n"/>
      <c r="B493" s="355" t="n"/>
    </row>
    <row r="494">
      <c r="A494" s="355" t="n"/>
      <c r="B494" s="355" t="n"/>
    </row>
    <row r="495">
      <c r="A495" s="355" t="n"/>
      <c r="B495" s="355" t="n"/>
    </row>
    <row r="496">
      <c r="A496" s="355" t="n"/>
      <c r="B496" s="355" t="n"/>
    </row>
    <row r="497">
      <c r="A497" s="355" t="n"/>
      <c r="B497" s="355" t="n"/>
    </row>
    <row r="498">
      <c r="A498" s="355" t="n"/>
      <c r="B498" s="355" t="n"/>
    </row>
    <row r="499">
      <c r="A499" s="355" t="n"/>
      <c r="B499" s="355" t="n"/>
    </row>
    <row r="500">
      <c r="A500" s="355" t="n"/>
      <c r="B500" s="355" t="n"/>
    </row>
    <row r="501">
      <c r="A501" s="355" t="n"/>
      <c r="B501" s="355" t="n"/>
    </row>
    <row r="502">
      <c r="A502" s="355" t="n"/>
      <c r="B502" s="355" t="n"/>
    </row>
    <row r="503">
      <c r="A503" s="355" t="n"/>
      <c r="B503" s="355" t="n"/>
    </row>
    <row r="504">
      <c r="A504" s="355" t="n"/>
      <c r="B504" s="355" t="n"/>
    </row>
    <row r="505">
      <c r="A505" s="355" t="n"/>
      <c r="B505" s="355" t="n"/>
    </row>
    <row r="506">
      <c r="A506" s="355" t="n"/>
      <c r="B506" s="355" t="n"/>
    </row>
    <row r="507">
      <c r="A507" s="355" t="n"/>
      <c r="B507" s="355" t="n"/>
    </row>
    <row r="508">
      <c r="A508" s="355" t="n"/>
      <c r="B508" s="355" t="n"/>
    </row>
    <row r="509">
      <c r="A509" s="355" t="n"/>
      <c r="B509" s="355" t="n"/>
    </row>
    <row r="510">
      <c r="A510" s="355" t="n"/>
      <c r="B510" s="355" t="n"/>
    </row>
    <row r="511">
      <c r="A511" s="355" t="n"/>
      <c r="B511" s="355" t="n"/>
    </row>
    <row r="512">
      <c r="A512" s="355" t="n"/>
      <c r="B512" s="355" t="n"/>
    </row>
    <row r="513">
      <c r="A513" s="355" t="n"/>
      <c r="B513" s="355" t="n"/>
    </row>
    <row r="514">
      <c r="A514" s="355" t="n"/>
      <c r="B514" s="355" t="n"/>
    </row>
    <row r="515">
      <c r="A515" s="355" t="n"/>
      <c r="B515" s="355" t="n"/>
    </row>
    <row r="516">
      <c r="A516" s="355" t="n"/>
      <c r="B516" s="355" t="n"/>
    </row>
    <row r="517">
      <c r="A517" s="355" t="n"/>
      <c r="B517" s="355" t="n"/>
    </row>
    <row r="518">
      <c r="A518" s="355" t="n"/>
      <c r="B518" s="355" t="n"/>
    </row>
    <row r="519">
      <c r="A519" s="355" t="n"/>
      <c r="B519" s="355" t="n"/>
    </row>
    <row r="520">
      <c r="A520" s="355" t="n"/>
      <c r="B520" s="355" t="n"/>
    </row>
    <row r="521">
      <c r="A521" s="355" t="n"/>
      <c r="B521" s="355" t="n"/>
    </row>
    <row r="522">
      <c r="A522" s="355" t="n"/>
      <c r="B522" s="355" t="n"/>
    </row>
    <row r="523">
      <c r="A523" s="355" t="n"/>
      <c r="B523" s="355" t="n"/>
    </row>
    <row r="524">
      <c r="A524" s="355" t="n"/>
      <c r="B524" s="355" t="n"/>
    </row>
    <row r="525">
      <c r="A525" s="355" t="n"/>
      <c r="B525" s="355" t="n"/>
    </row>
    <row r="526">
      <c r="A526" s="355" t="n"/>
      <c r="B526" s="355" t="n"/>
    </row>
    <row r="527">
      <c r="A527" s="355" t="n"/>
      <c r="B527" s="355" t="n"/>
    </row>
    <row r="528">
      <c r="A528" s="355" t="n"/>
      <c r="B528" s="355" t="n"/>
    </row>
    <row r="529">
      <c r="A529" s="355" t="n"/>
      <c r="B529" s="355" t="n"/>
    </row>
    <row r="530">
      <c r="A530" s="355" t="n"/>
      <c r="B530" s="355" t="n"/>
    </row>
    <row r="531">
      <c r="A531" s="355" t="n"/>
      <c r="B531" s="355" t="n"/>
    </row>
    <row r="532">
      <c r="A532" s="355" t="n"/>
      <c r="B532" s="355" t="n"/>
    </row>
    <row r="533">
      <c r="A533" s="355" t="n"/>
      <c r="B533" s="355" t="n"/>
    </row>
    <row r="534">
      <c r="A534" s="355" t="n"/>
      <c r="B534" s="355" t="n"/>
    </row>
    <row r="535">
      <c r="A535" s="355" t="n"/>
      <c r="B535" s="355" t="n"/>
    </row>
    <row r="536">
      <c r="A536" s="355" t="n"/>
      <c r="B536" s="355" t="n"/>
    </row>
    <row r="537">
      <c r="A537" s="355" t="n"/>
      <c r="B537" s="355" t="n"/>
    </row>
    <row r="538">
      <c r="A538" s="355" t="n"/>
      <c r="B538" s="355" t="n"/>
    </row>
    <row r="539">
      <c r="A539" s="355" t="n"/>
      <c r="B539" s="355" t="n"/>
    </row>
    <row r="540">
      <c r="A540" s="355" t="n"/>
      <c r="B540" s="355" t="n"/>
    </row>
    <row r="541">
      <c r="A541" s="355" t="n"/>
      <c r="B541" s="355" t="n"/>
    </row>
    <row r="542">
      <c r="A542" s="355" t="n"/>
      <c r="B542" s="355" t="n"/>
    </row>
    <row r="543">
      <c r="A543" s="355" t="n"/>
      <c r="B543" s="355" t="n"/>
    </row>
    <row r="544">
      <c r="A544" s="355" t="n"/>
      <c r="B544" s="355" t="n"/>
    </row>
    <row r="545">
      <c r="A545" s="355" t="n"/>
      <c r="B545" s="355" t="n"/>
    </row>
    <row r="546">
      <c r="A546" s="355" t="n"/>
      <c r="B546" s="355" t="n"/>
    </row>
    <row r="547">
      <c r="A547" s="355" t="n"/>
      <c r="B547" s="355" t="n"/>
    </row>
    <row r="548">
      <c r="A548" s="355" t="n"/>
      <c r="B548" s="355" t="n"/>
    </row>
    <row r="549">
      <c r="A549" s="355" t="n"/>
      <c r="B549" s="355" t="n"/>
    </row>
    <row r="550">
      <c r="A550" s="355" t="n"/>
      <c r="B550" s="355" t="n"/>
    </row>
    <row r="551">
      <c r="A551" s="355" t="n"/>
      <c r="B551" s="355" t="n"/>
    </row>
    <row r="552">
      <c r="A552" s="355" t="n"/>
      <c r="B552" s="355" t="n"/>
    </row>
    <row r="553">
      <c r="A553" s="355" t="n"/>
      <c r="B553" s="355" t="n"/>
    </row>
    <row r="554">
      <c r="A554" s="355" t="n"/>
      <c r="B554" s="355" t="n"/>
    </row>
    <row r="555">
      <c r="A555" s="355" t="n"/>
      <c r="B555" s="355" t="n"/>
    </row>
    <row r="556">
      <c r="A556" s="355" t="n"/>
      <c r="B556" s="355" t="n"/>
    </row>
    <row r="557">
      <c r="A557" s="355" t="n"/>
      <c r="B557" s="355" t="n"/>
    </row>
    <row r="558">
      <c r="A558" s="355" t="n"/>
      <c r="B558" s="355" t="n"/>
    </row>
    <row r="559">
      <c r="A559" s="355" t="n"/>
      <c r="B559" s="355" t="n"/>
    </row>
    <row r="560">
      <c r="A560" s="355" t="n"/>
      <c r="B560" s="355" t="n"/>
    </row>
    <row r="561">
      <c r="A561" s="355" t="n"/>
      <c r="B561" s="355" t="n"/>
    </row>
    <row r="562">
      <c r="A562" s="355" t="n"/>
      <c r="B562" s="355" t="n"/>
    </row>
    <row r="563">
      <c r="A563" s="355" t="n"/>
      <c r="B563" s="355" t="n"/>
    </row>
    <row r="564">
      <c r="A564" s="355" t="n"/>
      <c r="B564" s="355" t="n"/>
    </row>
    <row r="565">
      <c r="A565" s="355" t="n"/>
      <c r="B565" s="355" t="n"/>
    </row>
    <row r="566">
      <c r="A566" s="355" t="n"/>
      <c r="B566" s="355" t="n"/>
    </row>
    <row r="567">
      <c r="A567" s="355" t="n"/>
      <c r="B567" s="355" t="n"/>
    </row>
    <row r="568">
      <c r="A568" s="355" t="n"/>
      <c r="B568" s="355" t="n"/>
    </row>
    <row r="569">
      <c r="A569" s="355" t="n"/>
      <c r="B569" s="355" t="n"/>
    </row>
    <row r="570">
      <c r="A570" s="355" t="n"/>
      <c r="B570" s="355" t="n"/>
    </row>
    <row r="571">
      <c r="A571" s="355" t="n"/>
      <c r="B571" s="355" t="n"/>
    </row>
    <row r="572">
      <c r="A572" s="355" t="n"/>
      <c r="B572" s="355" t="n"/>
    </row>
    <row r="573">
      <c r="A573" s="355" t="n"/>
      <c r="B573" s="355" t="n"/>
    </row>
    <row r="574">
      <c r="A574" s="355" t="n"/>
      <c r="B574" s="355" t="n"/>
    </row>
    <row r="575">
      <c r="A575" s="355" t="n"/>
      <c r="B575" s="355" t="n"/>
    </row>
    <row r="576">
      <c r="A576" s="355" t="n"/>
      <c r="B576" s="355" t="n"/>
    </row>
    <row r="577">
      <c r="A577" s="355" t="n"/>
      <c r="B577" s="355" t="n"/>
    </row>
    <row r="578">
      <c r="A578" s="355" t="n"/>
      <c r="B578" s="355" t="n"/>
    </row>
    <row r="579">
      <c r="A579" s="355" t="n"/>
      <c r="B579" s="355" t="n"/>
    </row>
    <row r="580">
      <c r="A580" s="355" t="n"/>
      <c r="B580" s="355" t="n"/>
    </row>
    <row r="581">
      <c r="A581" s="355" t="n"/>
      <c r="B581" s="355" t="n"/>
    </row>
    <row r="582">
      <c r="A582" s="355" t="n"/>
      <c r="B582" s="355" t="n"/>
    </row>
    <row r="583">
      <c r="A583" s="355" t="n"/>
      <c r="B583" s="355" t="n"/>
    </row>
    <row r="584">
      <c r="A584" s="355" t="n"/>
      <c r="B584" s="355" t="n"/>
    </row>
    <row r="585">
      <c r="A585" s="355" t="n"/>
      <c r="B585" s="355" t="n"/>
    </row>
    <row r="586">
      <c r="A586" s="355" t="n"/>
      <c r="B586" s="355" t="n"/>
    </row>
    <row r="587">
      <c r="A587" s="355" t="n"/>
      <c r="B587" s="355" t="n"/>
    </row>
    <row r="588">
      <c r="A588" s="355" t="n"/>
      <c r="B588" s="355" t="n"/>
    </row>
    <row r="589">
      <c r="A589" s="355" t="n"/>
      <c r="B589" s="355" t="n"/>
    </row>
    <row r="590">
      <c r="A590" s="355" t="n"/>
      <c r="B590" s="355" t="n"/>
    </row>
    <row r="591">
      <c r="A591" s="355" t="n"/>
      <c r="B591" s="355" t="n"/>
    </row>
    <row r="592">
      <c r="A592" s="355" t="n"/>
      <c r="B592" s="355" t="n"/>
    </row>
    <row r="593">
      <c r="A593" s="355" t="n"/>
      <c r="B593" s="355" t="n"/>
    </row>
    <row r="594">
      <c r="A594" s="355" t="n"/>
      <c r="B594" s="355" t="n"/>
    </row>
    <row r="595">
      <c r="A595" s="355" t="n"/>
      <c r="B595" s="355" t="n"/>
    </row>
    <row r="596">
      <c r="A596" s="355" t="n"/>
      <c r="B596" s="355" t="n"/>
    </row>
    <row r="597">
      <c r="A597" s="355" t="n"/>
      <c r="B597" s="355" t="n"/>
    </row>
    <row r="598">
      <c r="A598" s="355" t="n"/>
      <c r="B598" s="355" t="n"/>
    </row>
    <row r="599">
      <c r="A599" s="355" t="n"/>
      <c r="B599" s="355" t="n"/>
    </row>
    <row r="600">
      <c r="A600" s="355" t="n"/>
      <c r="B600" s="355" t="n"/>
    </row>
    <row r="601">
      <c r="A601" s="355" t="n"/>
      <c r="B601" s="355" t="n"/>
    </row>
    <row r="602">
      <c r="A602" s="355" t="n"/>
      <c r="B602" s="355" t="n"/>
    </row>
    <row r="603">
      <c r="A603" s="355" t="n"/>
      <c r="B603" s="355" t="n"/>
    </row>
    <row r="604">
      <c r="A604" s="355" t="n"/>
      <c r="B604" s="355" t="n"/>
    </row>
    <row r="605">
      <c r="A605" s="355" t="n"/>
      <c r="B605" s="355" t="n"/>
    </row>
    <row r="606">
      <c r="A606" s="355" t="n"/>
      <c r="B606" s="355" t="n"/>
    </row>
    <row r="607">
      <c r="A607" s="355" t="n"/>
      <c r="B607" s="355" t="n"/>
    </row>
    <row r="608">
      <c r="A608" s="355" t="n"/>
      <c r="B608" s="355" t="n"/>
    </row>
    <row r="609">
      <c r="A609" s="355" t="n"/>
      <c r="B609" s="355" t="n"/>
    </row>
    <row r="610">
      <c r="A610" s="355" t="n"/>
      <c r="B610" s="355" t="n"/>
    </row>
    <row r="611">
      <c r="A611" s="355" t="n"/>
      <c r="B611" s="355" t="n"/>
    </row>
    <row r="612">
      <c r="A612" s="355" t="n"/>
      <c r="B612" s="355" t="n"/>
    </row>
    <row r="613">
      <c r="A613" s="355" t="n"/>
      <c r="B613" s="355" t="n"/>
    </row>
    <row r="614">
      <c r="A614" s="355" t="n"/>
      <c r="B614" s="355" t="n"/>
    </row>
    <row r="615">
      <c r="A615" s="355" t="n"/>
      <c r="B615" s="355" t="n"/>
    </row>
    <row r="616">
      <c r="A616" s="355" t="n"/>
      <c r="B616" s="355" t="n"/>
    </row>
    <row r="617">
      <c r="A617" s="355" t="n"/>
      <c r="B617" s="355" t="n"/>
    </row>
    <row r="618">
      <c r="A618" s="355" t="n"/>
      <c r="B618" s="355" t="n"/>
    </row>
    <row r="619">
      <c r="A619" s="355" t="n"/>
      <c r="B619" s="355" t="n"/>
    </row>
    <row r="620">
      <c r="A620" s="355" t="n"/>
      <c r="B620" s="355" t="n"/>
    </row>
    <row r="621">
      <c r="A621" s="355" t="n"/>
      <c r="B621" s="355" t="n"/>
    </row>
    <row r="622">
      <c r="A622" s="355" t="n"/>
      <c r="B622" s="355" t="n"/>
    </row>
    <row r="623">
      <c r="A623" s="355" t="n"/>
      <c r="B623" s="355" t="n"/>
    </row>
    <row r="624">
      <c r="A624" s="355" t="n"/>
      <c r="B624" s="355" t="n"/>
    </row>
    <row r="625">
      <c r="A625" s="355" t="n"/>
      <c r="B625" s="355" t="n"/>
    </row>
    <row r="626">
      <c r="A626" s="355" t="n"/>
      <c r="B626" s="355" t="n"/>
    </row>
    <row r="627">
      <c r="A627" s="355" t="n"/>
      <c r="B627" s="355" t="n"/>
    </row>
    <row r="628">
      <c r="A628" s="355" t="n"/>
      <c r="B628" s="355" t="n"/>
    </row>
    <row r="629">
      <c r="A629" s="355" t="n"/>
      <c r="B629" s="355" t="n"/>
    </row>
    <row r="630">
      <c r="A630" s="355" t="n"/>
      <c r="B630" s="355" t="n"/>
    </row>
    <row r="631">
      <c r="A631" s="355" t="n"/>
      <c r="B631" s="355" t="n"/>
    </row>
    <row r="632">
      <c r="A632" s="355" t="n"/>
      <c r="B632" s="355" t="n"/>
    </row>
    <row r="633">
      <c r="A633" s="355" t="n"/>
      <c r="B633" s="355" t="n"/>
    </row>
    <row r="634">
      <c r="A634" s="355" t="n"/>
      <c r="B634" s="355" t="n"/>
    </row>
    <row r="635">
      <c r="A635" s="355" t="n"/>
      <c r="B635" s="355" t="n"/>
    </row>
    <row r="636">
      <c r="A636" s="355" t="n"/>
      <c r="B636" s="355" t="n"/>
    </row>
    <row r="637">
      <c r="A637" s="355" t="n"/>
      <c r="B637" s="355" t="n"/>
    </row>
    <row r="638">
      <c r="A638" s="355" t="n"/>
      <c r="B638" s="355" t="n"/>
    </row>
    <row r="639">
      <c r="A639" s="355" t="n"/>
      <c r="B639" s="355" t="n"/>
    </row>
    <row r="640">
      <c r="A640" s="355" t="n"/>
      <c r="B640" s="355" t="n"/>
    </row>
    <row r="641">
      <c r="A641" s="355" t="n"/>
      <c r="B641" s="355" t="n"/>
    </row>
    <row r="642">
      <c r="A642" s="355" t="n"/>
      <c r="B642" s="355" t="n"/>
    </row>
    <row r="643">
      <c r="A643" s="355" t="n"/>
      <c r="B643" s="355" t="n"/>
    </row>
    <row r="644">
      <c r="A644" s="355" t="n"/>
      <c r="B644" s="355" t="n"/>
    </row>
    <row r="645">
      <c r="A645" s="355" t="n"/>
      <c r="B645" s="355" t="n"/>
    </row>
    <row r="646">
      <c r="A646" s="355" t="n"/>
      <c r="B646" s="355" t="n"/>
    </row>
    <row r="647">
      <c r="A647" s="355" t="n"/>
      <c r="B647" s="355" t="n"/>
    </row>
    <row r="648">
      <c r="A648" s="355" t="n"/>
      <c r="B648" s="355" t="n"/>
    </row>
    <row r="649">
      <c r="A649" s="355" t="n"/>
      <c r="B649" s="355" t="n"/>
    </row>
    <row r="650">
      <c r="A650" s="355" t="n"/>
      <c r="B650" s="355" t="n"/>
    </row>
    <row r="651">
      <c r="A651" s="355" t="n"/>
      <c r="B651" s="355" t="n"/>
    </row>
    <row r="652">
      <c r="A652" s="355" t="n"/>
      <c r="B652" s="355" t="n"/>
    </row>
    <row r="653">
      <c r="A653" s="355" t="n"/>
      <c r="B653" s="355" t="n"/>
    </row>
    <row r="654">
      <c r="A654" s="355" t="n"/>
      <c r="B654" s="355" t="n"/>
    </row>
    <row r="655">
      <c r="A655" s="355" t="n"/>
      <c r="B655" s="355" t="n"/>
    </row>
    <row r="656">
      <c r="A656" s="355" t="n"/>
      <c r="B656" s="355" t="n"/>
    </row>
    <row r="657">
      <c r="A657" s="355" t="n"/>
      <c r="B657" s="355" t="n"/>
    </row>
    <row r="658">
      <c r="A658" s="355" t="n"/>
      <c r="B658" s="355" t="n"/>
    </row>
    <row r="659">
      <c r="A659" s="355" t="n"/>
      <c r="B659" s="355" t="n"/>
    </row>
    <row r="660">
      <c r="A660" s="355" t="n"/>
      <c r="B660" s="355" t="n"/>
    </row>
    <row r="661">
      <c r="A661" s="355" t="n"/>
      <c r="B661" s="355" t="n"/>
    </row>
    <row r="662">
      <c r="A662" s="355" t="n"/>
      <c r="B662" s="355" t="n"/>
    </row>
    <row r="663">
      <c r="A663" s="355" t="n"/>
      <c r="B663" s="355" t="n"/>
    </row>
    <row r="664">
      <c r="A664" s="355" t="n"/>
      <c r="B664" s="355" t="n"/>
    </row>
    <row r="665">
      <c r="A665" s="355" t="n"/>
      <c r="B665" s="355" t="n"/>
    </row>
    <row r="666">
      <c r="A666" s="355" t="n"/>
      <c r="B666" s="355" t="n"/>
    </row>
    <row r="667">
      <c r="A667" s="355" t="n"/>
      <c r="B667" s="355" t="n"/>
    </row>
    <row r="668">
      <c r="A668" s="355" t="n"/>
      <c r="B668" s="355" t="n"/>
    </row>
    <row r="669">
      <c r="A669" s="355" t="n"/>
      <c r="B669" s="355" t="n"/>
    </row>
    <row r="670">
      <c r="A670" s="355" t="n"/>
      <c r="B670" s="355" t="n"/>
    </row>
    <row r="671">
      <c r="A671" s="355" t="n"/>
      <c r="B671" s="355" t="n"/>
    </row>
    <row r="672">
      <c r="A672" s="355" t="n"/>
      <c r="B672" s="355" t="n"/>
    </row>
    <row r="673">
      <c r="A673" s="355" t="n"/>
      <c r="B673" s="355" t="n"/>
    </row>
    <row r="674">
      <c r="A674" s="355" t="n"/>
      <c r="B674" s="355" t="n"/>
    </row>
    <row r="675">
      <c r="A675" s="355" t="n"/>
      <c r="B675" s="355" t="n"/>
    </row>
    <row r="676">
      <c r="A676" s="355" t="n"/>
      <c r="B676" s="355" t="n"/>
    </row>
    <row r="677">
      <c r="A677" s="355" t="n"/>
      <c r="B677" s="355" t="n"/>
    </row>
    <row r="678">
      <c r="A678" s="355" t="n"/>
      <c r="B678" s="355" t="n"/>
    </row>
    <row r="679">
      <c r="A679" s="355" t="n"/>
      <c r="B679" s="355" t="n"/>
    </row>
    <row r="680">
      <c r="A680" s="355" t="n"/>
      <c r="B680" s="355" t="n"/>
    </row>
    <row r="681">
      <c r="A681" s="355" t="n"/>
      <c r="B681" s="355" t="n"/>
    </row>
    <row r="682">
      <c r="A682" s="355" t="n"/>
      <c r="B682" s="355" t="n"/>
    </row>
    <row r="683">
      <c r="A683" s="355" t="n"/>
      <c r="B683" s="355" t="n"/>
    </row>
    <row r="684">
      <c r="A684" s="355" t="n"/>
      <c r="B684" s="355" t="n"/>
    </row>
    <row r="685">
      <c r="A685" s="355" t="n"/>
      <c r="B685" s="355" t="n"/>
    </row>
    <row r="686">
      <c r="A686" s="355" t="n"/>
      <c r="B686" s="355" t="n"/>
    </row>
    <row r="687">
      <c r="A687" s="355" t="n"/>
      <c r="B687" s="355" t="n"/>
    </row>
    <row r="688">
      <c r="A688" s="355" t="n"/>
      <c r="B688" s="355" t="n"/>
    </row>
    <row r="689">
      <c r="A689" s="355" t="n"/>
      <c r="B689" s="355" t="n"/>
    </row>
    <row r="690">
      <c r="A690" s="355" t="n"/>
      <c r="B690" s="355" t="n"/>
    </row>
    <row r="691">
      <c r="A691" s="355" t="n"/>
      <c r="B691" s="355" t="n"/>
    </row>
    <row r="692">
      <c r="A692" s="355" t="n"/>
      <c r="B692" s="355" t="n"/>
    </row>
    <row r="693">
      <c r="A693" s="355" t="n"/>
      <c r="B693" s="355" t="n"/>
    </row>
    <row r="694">
      <c r="A694" s="355" t="n"/>
      <c r="B694" s="355" t="n"/>
    </row>
    <row r="695">
      <c r="A695" s="355" t="n"/>
      <c r="B695" s="355" t="n"/>
    </row>
    <row r="696">
      <c r="A696" s="355" t="n"/>
      <c r="B696" s="355" t="n"/>
    </row>
    <row r="697">
      <c r="A697" s="355" t="n"/>
      <c r="B697" s="355" t="n"/>
    </row>
    <row r="698">
      <c r="A698" s="355" t="n"/>
      <c r="B698" s="355" t="n"/>
    </row>
    <row r="699">
      <c r="A699" s="355" t="n"/>
      <c r="B699" s="355" t="n"/>
    </row>
    <row r="700">
      <c r="A700" s="355" t="n"/>
      <c r="B700" s="355" t="n"/>
    </row>
    <row r="701">
      <c r="A701" s="355" t="n"/>
      <c r="B701" s="355" t="n"/>
    </row>
    <row r="702">
      <c r="A702" s="355" t="n"/>
      <c r="B702" s="355" t="n"/>
    </row>
    <row r="703">
      <c r="A703" s="355" t="n"/>
      <c r="B703" s="355" t="n"/>
    </row>
    <row r="704">
      <c r="A704" s="355" t="n"/>
      <c r="B704" s="355" t="n"/>
    </row>
    <row r="705">
      <c r="A705" s="355" t="n"/>
      <c r="B705" s="355" t="n"/>
    </row>
    <row r="706">
      <c r="A706" s="355" t="n"/>
      <c r="B706" s="355" t="n"/>
    </row>
    <row r="707">
      <c r="A707" s="355" t="n"/>
      <c r="B707" s="355" t="n"/>
    </row>
    <row r="708">
      <c r="A708" s="355" t="n"/>
      <c r="B708" s="355" t="n"/>
    </row>
    <row r="709">
      <c r="A709" s="355" t="n"/>
      <c r="B709" s="355" t="n"/>
    </row>
    <row r="710">
      <c r="A710" s="355" t="n"/>
      <c r="B710" s="355" t="n"/>
    </row>
    <row r="711">
      <c r="A711" s="355" t="n"/>
      <c r="B711" s="355" t="n"/>
    </row>
    <row r="712">
      <c r="A712" s="355" t="n"/>
      <c r="B712" s="355" t="n"/>
    </row>
    <row r="713">
      <c r="A713" s="355" t="n"/>
      <c r="B713" s="355" t="n"/>
    </row>
    <row r="714">
      <c r="A714" s="355" t="n"/>
      <c r="B714" s="355" t="n"/>
    </row>
    <row r="715">
      <c r="A715" s="355" t="n"/>
      <c r="B715" s="355" t="n"/>
    </row>
    <row r="716">
      <c r="A716" s="355" t="n"/>
      <c r="B716" s="355" t="n"/>
    </row>
    <row r="717">
      <c r="A717" s="355" t="n"/>
      <c r="B717" s="355" t="n"/>
    </row>
    <row r="718">
      <c r="A718" s="355" t="n"/>
      <c r="B718" s="355" t="n"/>
    </row>
    <row r="719">
      <c r="A719" s="355" t="n"/>
      <c r="B719" s="355" t="n"/>
    </row>
    <row r="720">
      <c r="A720" s="355" t="n"/>
      <c r="B720" s="355" t="n"/>
    </row>
    <row r="721">
      <c r="A721" s="355" t="n"/>
      <c r="B721" s="355" t="n"/>
    </row>
    <row r="722">
      <c r="A722" s="355" t="n"/>
      <c r="B722" s="355" t="n"/>
    </row>
    <row r="723">
      <c r="A723" s="355" t="n"/>
      <c r="B723" s="355" t="n"/>
    </row>
    <row r="724">
      <c r="A724" s="355" t="n"/>
      <c r="B724" s="355" t="n"/>
    </row>
    <row r="725">
      <c r="A725" s="355" t="n"/>
      <c r="B725" s="355" t="n"/>
    </row>
    <row r="726">
      <c r="A726" s="355" t="n"/>
      <c r="B726" s="355" t="n"/>
    </row>
    <row r="727">
      <c r="A727" s="355" t="n"/>
      <c r="B727" s="355" t="n"/>
    </row>
    <row r="728">
      <c r="A728" s="355" t="n"/>
      <c r="B728" s="355" t="n"/>
    </row>
    <row r="729">
      <c r="A729" s="355" t="n"/>
      <c r="B729" s="355" t="n"/>
    </row>
    <row r="730">
      <c r="A730" s="355" t="n"/>
      <c r="B730" s="355" t="n"/>
    </row>
    <row r="731">
      <c r="A731" s="355" t="n"/>
      <c r="B731" s="355" t="n"/>
    </row>
    <row r="732">
      <c r="A732" s="355" t="n"/>
      <c r="B732" s="355" t="n"/>
    </row>
    <row r="733">
      <c r="A733" s="355" t="n"/>
      <c r="B733" s="355" t="n"/>
    </row>
    <row r="734">
      <c r="A734" s="355" t="n"/>
      <c r="B734" s="355" t="n"/>
    </row>
    <row r="735">
      <c r="A735" s="355" t="n"/>
      <c r="B735" s="355" t="n"/>
    </row>
    <row r="736">
      <c r="A736" s="355" t="n"/>
      <c r="B736" s="355" t="n"/>
    </row>
    <row r="737">
      <c r="A737" s="355" t="n"/>
      <c r="B737" s="355" t="n"/>
    </row>
    <row r="738">
      <c r="A738" s="355" t="n"/>
      <c r="B738" s="355" t="n"/>
    </row>
    <row r="739">
      <c r="A739" s="355" t="n"/>
      <c r="B739" s="355" t="n"/>
    </row>
    <row r="740">
      <c r="A740" s="355" t="n"/>
      <c r="B740" s="355" t="n"/>
    </row>
    <row r="741">
      <c r="A741" s="355" t="n"/>
      <c r="B741" s="355" t="n"/>
    </row>
    <row r="742">
      <c r="A742" s="355" t="n"/>
      <c r="B742" s="355" t="n"/>
    </row>
    <row r="743">
      <c r="A743" s="355" t="n"/>
      <c r="B743" s="355" t="n"/>
    </row>
    <row r="744">
      <c r="A744" s="355" t="n"/>
      <c r="B744" s="355" t="n"/>
    </row>
    <row r="745">
      <c r="A745" s="355" t="n"/>
      <c r="B745" s="355" t="n"/>
    </row>
    <row r="746">
      <c r="A746" s="355" t="n"/>
      <c r="B746" s="355" t="n"/>
    </row>
    <row r="747">
      <c r="A747" s="355" t="n"/>
      <c r="B747" s="355" t="n"/>
    </row>
    <row r="748">
      <c r="A748" s="355" t="n"/>
      <c r="B748" s="355" t="n"/>
    </row>
    <row r="749">
      <c r="A749" s="355" t="n"/>
      <c r="B749" s="355" t="n"/>
    </row>
    <row r="750">
      <c r="A750" s="355" t="n"/>
      <c r="B750" s="355" t="n"/>
    </row>
    <row r="751">
      <c r="A751" s="355" t="n"/>
      <c r="B751" s="355" t="n"/>
    </row>
    <row r="752">
      <c r="A752" s="355" t="n"/>
      <c r="B752" s="355" t="n"/>
    </row>
    <row r="753">
      <c r="A753" s="355" t="n"/>
      <c r="B753" s="355" t="n"/>
    </row>
    <row r="754">
      <c r="A754" s="355" t="n"/>
      <c r="B754" s="355" t="n"/>
    </row>
    <row r="755">
      <c r="A755" s="355" t="n"/>
      <c r="B755" s="355" t="n"/>
    </row>
    <row r="756">
      <c r="A756" s="355" t="n"/>
      <c r="B756" s="355" t="n"/>
    </row>
    <row r="757">
      <c r="A757" s="355" t="n"/>
      <c r="B757" s="355" t="n"/>
    </row>
    <row r="758">
      <c r="A758" s="355" t="n"/>
      <c r="B758" s="355" t="n"/>
    </row>
    <row r="759">
      <c r="A759" s="355" t="n"/>
      <c r="B759" s="355" t="n"/>
    </row>
    <row r="760">
      <c r="A760" s="355" t="n"/>
      <c r="B760" s="355" t="n"/>
    </row>
    <row r="761">
      <c r="A761" s="355" t="n"/>
      <c r="B761" s="355" t="n"/>
    </row>
    <row r="762">
      <c r="A762" s="355" t="n"/>
      <c r="B762" s="355" t="n"/>
    </row>
    <row r="763">
      <c r="A763" s="355" t="n"/>
      <c r="B763" s="355" t="n"/>
    </row>
    <row r="764">
      <c r="A764" s="355" t="n"/>
      <c r="B764" s="355" t="n"/>
    </row>
    <row r="765">
      <c r="A765" s="355" t="n"/>
      <c r="B765" s="355" t="n"/>
    </row>
    <row r="766">
      <c r="A766" s="355" t="n"/>
      <c r="B766" s="355" t="n"/>
    </row>
    <row r="767">
      <c r="A767" s="355" t="n"/>
      <c r="B767" s="355" t="n"/>
    </row>
    <row r="768">
      <c r="A768" s="355" t="n"/>
      <c r="B768" s="355" t="n"/>
    </row>
    <row r="769">
      <c r="A769" s="355" t="n"/>
      <c r="B769" s="355" t="n"/>
    </row>
    <row r="770">
      <c r="A770" s="355" t="n"/>
      <c r="B770" s="355" t="n"/>
    </row>
    <row r="771">
      <c r="A771" s="355" t="n"/>
      <c r="B771" s="355" t="n"/>
    </row>
    <row r="772">
      <c r="A772" s="355" t="n"/>
      <c r="B772" s="355" t="n"/>
    </row>
    <row r="773">
      <c r="A773" s="355" t="n"/>
      <c r="B773" s="355" t="n"/>
    </row>
    <row r="774">
      <c r="A774" s="355" t="n"/>
      <c r="B774" s="355" t="n"/>
    </row>
    <row r="775">
      <c r="A775" s="355" t="n"/>
      <c r="B775" s="355" t="n"/>
    </row>
    <row r="776">
      <c r="A776" s="355" t="n"/>
      <c r="B776" s="355" t="n"/>
    </row>
    <row r="777">
      <c r="A777" s="355" t="n"/>
      <c r="B777" s="355" t="n"/>
    </row>
    <row r="778">
      <c r="A778" s="355" t="n"/>
      <c r="B778" s="355" t="n"/>
    </row>
    <row r="779">
      <c r="A779" s="355" t="n"/>
      <c r="B779" s="355" t="n"/>
    </row>
    <row r="780">
      <c r="A780" s="355" t="n"/>
      <c r="B780" s="355" t="n"/>
    </row>
    <row r="781">
      <c r="A781" s="355" t="n"/>
      <c r="B781" s="355" t="n"/>
    </row>
    <row r="782">
      <c r="A782" s="355" t="n"/>
      <c r="B782" s="355" t="n"/>
    </row>
    <row r="783">
      <c r="A783" s="355" t="n"/>
      <c r="B783" s="355" t="n"/>
    </row>
    <row r="784">
      <c r="A784" s="355" t="n"/>
      <c r="B784" s="355" t="n"/>
    </row>
    <row r="785">
      <c r="A785" s="355" t="n"/>
      <c r="B785" s="355" t="n"/>
    </row>
    <row r="786">
      <c r="A786" s="355" t="n"/>
      <c r="B786" s="355" t="n"/>
    </row>
    <row r="787">
      <c r="A787" s="355" t="n"/>
      <c r="B787" s="355" t="n"/>
    </row>
    <row r="788">
      <c r="A788" s="355" t="n"/>
      <c r="B788" s="355" t="n"/>
    </row>
    <row r="789">
      <c r="A789" s="355" t="n"/>
      <c r="B789" s="355" t="n"/>
    </row>
    <row r="790">
      <c r="A790" s="355" t="n"/>
      <c r="B790" s="355" t="n"/>
    </row>
    <row r="791">
      <c r="A791" s="355" t="n"/>
      <c r="B791" s="355" t="n"/>
    </row>
    <row r="792">
      <c r="A792" s="355" t="n"/>
      <c r="B792" s="355" t="n"/>
    </row>
    <row r="793">
      <c r="A793" s="355" t="n"/>
      <c r="B793" s="355" t="n"/>
    </row>
    <row r="794">
      <c r="A794" s="355" t="n"/>
      <c r="B794" s="355" t="n"/>
    </row>
    <row r="795">
      <c r="A795" s="355" t="n"/>
      <c r="B795" s="355" t="n"/>
    </row>
    <row r="796">
      <c r="A796" s="355" t="n"/>
      <c r="B796" s="355" t="n"/>
    </row>
    <row r="797">
      <c r="A797" s="355" t="n"/>
      <c r="B797" s="355" t="n"/>
    </row>
    <row r="798">
      <c r="A798" s="355" t="n"/>
      <c r="B798" s="355" t="n"/>
    </row>
    <row r="799">
      <c r="A799" s="355" t="n"/>
      <c r="B799" s="355" t="n"/>
    </row>
    <row r="800">
      <c r="A800" s="355" t="n"/>
      <c r="B800" s="355" t="n"/>
    </row>
    <row r="801">
      <c r="A801" s="355" t="n"/>
      <c r="B801" s="355" t="n"/>
    </row>
    <row r="802">
      <c r="A802" s="355" t="n"/>
      <c r="B802" s="355" t="n"/>
    </row>
    <row r="803">
      <c r="A803" s="355" t="n"/>
      <c r="B803" s="355" t="n"/>
    </row>
    <row r="804">
      <c r="A804" s="355" t="n"/>
      <c r="B804" s="355" t="n"/>
    </row>
    <row r="805">
      <c r="A805" s="355" t="n"/>
      <c r="B805" s="355" t="n"/>
    </row>
    <row r="806">
      <c r="A806" s="355" t="n"/>
      <c r="B806" s="355" t="n"/>
    </row>
    <row r="807">
      <c r="A807" s="355" t="n"/>
      <c r="B807" s="355" t="n"/>
    </row>
    <row r="808">
      <c r="A808" s="355" t="n"/>
      <c r="B808" s="355" t="n"/>
    </row>
    <row r="809">
      <c r="A809" s="355" t="n"/>
      <c r="B809" s="355" t="n"/>
    </row>
    <row r="810">
      <c r="A810" s="355" t="n"/>
      <c r="B810" s="355" t="n"/>
    </row>
    <row r="811">
      <c r="A811" s="355" t="n"/>
      <c r="B811" s="355" t="n"/>
    </row>
    <row r="812">
      <c r="A812" s="355" t="n"/>
      <c r="B812" s="355" t="n"/>
    </row>
    <row r="813">
      <c r="A813" s="355" t="n"/>
      <c r="B813" s="355" t="n"/>
    </row>
    <row r="814">
      <c r="A814" s="355" t="n"/>
      <c r="B814" s="355" t="n"/>
    </row>
    <row r="815">
      <c r="A815" s="355" t="n"/>
      <c r="B815" s="355" t="n"/>
    </row>
    <row r="816">
      <c r="A816" s="355" t="n"/>
      <c r="B816" s="355" t="n"/>
    </row>
    <row r="817">
      <c r="A817" s="355" t="n"/>
      <c r="B817" s="355" t="n"/>
    </row>
    <row r="818">
      <c r="A818" s="355" t="n"/>
      <c r="B818" s="355" t="n"/>
    </row>
    <row r="819">
      <c r="A819" s="355" t="n"/>
      <c r="B819" s="355" t="n"/>
    </row>
    <row r="820">
      <c r="A820" s="355" t="n"/>
      <c r="B820" s="355" t="n"/>
    </row>
    <row r="821">
      <c r="A821" s="355" t="n"/>
      <c r="B821" s="355" t="n"/>
    </row>
    <row r="822">
      <c r="A822" s="355" t="n"/>
      <c r="B822" s="355" t="n"/>
    </row>
    <row r="823">
      <c r="A823" s="355" t="n"/>
      <c r="B823" s="355" t="n"/>
    </row>
    <row r="824">
      <c r="A824" s="355" t="n"/>
      <c r="B824" s="355" t="n"/>
    </row>
    <row r="825">
      <c r="A825" s="355" t="n"/>
      <c r="B825" s="355" t="n"/>
    </row>
    <row r="826">
      <c r="A826" s="355" t="n"/>
      <c r="B826" s="355" t="n"/>
    </row>
    <row r="827">
      <c r="A827" s="355" t="n"/>
      <c r="B827" s="355" t="n"/>
    </row>
    <row r="828">
      <c r="A828" s="355" t="n"/>
      <c r="B828" s="355" t="n"/>
    </row>
    <row r="829">
      <c r="A829" s="355" t="n"/>
      <c r="B829" s="355" t="n"/>
    </row>
    <row r="830">
      <c r="A830" s="355" t="n"/>
      <c r="B830" s="355" t="n"/>
    </row>
    <row r="831">
      <c r="A831" s="355" t="n"/>
      <c r="B831" s="355" t="n"/>
    </row>
    <row r="832">
      <c r="A832" s="355" t="n"/>
      <c r="B832" s="355" t="n"/>
    </row>
    <row r="833">
      <c r="A833" s="355" t="n"/>
      <c r="B833" s="355" t="n"/>
    </row>
    <row r="834">
      <c r="A834" s="355" t="n"/>
      <c r="B834" s="355" t="n"/>
    </row>
    <row r="835">
      <c r="A835" s="355" t="n"/>
      <c r="B835" s="355" t="n"/>
    </row>
    <row r="836">
      <c r="A836" s="355" t="n"/>
      <c r="B836" s="355" t="n"/>
    </row>
    <row r="837">
      <c r="A837" s="355" t="n"/>
      <c r="B837" s="355" t="n"/>
    </row>
    <row r="838">
      <c r="A838" s="355" t="n"/>
      <c r="B838" s="355" t="n"/>
    </row>
    <row r="839">
      <c r="A839" s="355" t="n"/>
      <c r="B839" s="355" t="n"/>
    </row>
    <row r="840">
      <c r="A840" s="355" t="n"/>
      <c r="B840" s="355" t="n"/>
    </row>
    <row r="841">
      <c r="A841" s="355" t="n"/>
      <c r="B841" s="355" t="n"/>
    </row>
    <row r="842">
      <c r="A842" s="355" t="n"/>
      <c r="B842" s="355" t="n"/>
    </row>
    <row r="843">
      <c r="A843" s="355" t="n"/>
      <c r="B843" s="355" t="n"/>
    </row>
    <row r="844">
      <c r="A844" s="355" t="n"/>
      <c r="B844" s="355" t="n"/>
    </row>
    <row r="845">
      <c r="A845" s="355" t="n"/>
      <c r="B845" s="355" t="n"/>
    </row>
    <row r="846">
      <c r="A846" s="355" t="n"/>
      <c r="B846" s="355" t="n"/>
    </row>
    <row r="847">
      <c r="A847" s="355" t="n"/>
      <c r="B847" s="355" t="n"/>
    </row>
    <row r="848">
      <c r="A848" s="355" t="n"/>
      <c r="B848" s="355" t="n"/>
    </row>
    <row r="849">
      <c r="A849" s="355" t="n"/>
      <c r="B849" s="355" t="n"/>
    </row>
    <row r="850">
      <c r="A850" s="355" t="n"/>
      <c r="B850" s="355" t="n"/>
    </row>
    <row r="851">
      <c r="A851" s="355" t="n"/>
      <c r="B851" s="355" t="n"/>
    </row>
    <row r="852">
      <c r="A852" s="355" t="n"/>
      <c r="B852" s="355" t="n"/>
    </row>
    <row r="853">
      <c r="A853" s="355" t="n"/>
      <c r="B853" s="355" t="n"/>
    </row>
    <row r="854">
      <c r="A854" s="355" t="n"/>
      <c r="B854" s="355" t="n"/>
    </row>
    <row r="855">
      <c r="A855" s="355" t="n"/>
      <c r="B855" s="355" t="n"/>
    </row>
    <row r="856">
      <c r="A856" s="355" t="n"/>
      <c r="B856" s="355" t="n"/>
    </row>
    <row r="857">
      <c r="A857" s="355" t="n"/>
      <c r="B857" s="355" t="n"/>
    </row>
    <row r="858">
      <c r="A858" s="355" t="n"/>
      <c r="B858" s="355" t="n"/>
    </row>
    <row r="859">
      <c r="A859" s="355" t="n"/>
      <c r="B859" s="355" t="n"/>
    </row>
    <row r="860">
      <c r="A860" s="355" t="n"/>
      <c r="B860" s="355" t="n"/>
    </row>
    <row r="861">
      <c r="A861" s="355" t="n"/>
      <c r="B861" s="355" t="n"/>
    </row>
    <row r="862">
      <c r="A862" s="355" t="n"/>
      <c r="B862" s="355" t="n"/>
    </row>
    <row r="863">
      <c r="A863" s="355" t="n"/>
      <c r="B863" s="355" t="n"/>
    </row>
    <row r="864">
      <c r="A864" s="355" t="n"/>
      <c r="B864" s="355" t="n"/>
    </row>
    <row r="865">
      <c r="A865" s="355" t="n"/>
      <c r="B865" s="355" t="n"/>
    </row>
    <row r="866">
      <c r="A866" s="355" t="n"/>
      <c r="B866" s="355" t="n"/>
    </row>
    <row r="867">
      <c r="A867" s="355" t="n"/>
      <c r="B867" s="355" t="n"/>
    </row>
    <row r="868">
      <c r="A868" s="355" t="n"/>
      <c r="B868" s="355" t="n"/>
    </row>
    <row r="869">
      <c r="A869" s="355" t="n"/>
      <c r="B869" s="355" t="n"/>
    </row>
    <row r="870">
      <c r="A870" s="355" t="n"/>
      <c r="B870" s="355" t="n"/>
    </row>
    <row r="871">
      <c r="A871" s="355" t="n"/>
      <c r="B871" s="355" t="n"/>
    </row>
    <row r="872">
      <c r="A872" s="355" t="n"/>
      <c r="B872" s="355" t="n"/>
    </row>
    <row r="873">
      <c r="A873" s="355" t="n"/>
      <c r="B873" s="355" t="n"/>
    </row>
    <row r="874">
      <c r="A874" s="355" t="n"/>
      <c r="B874" s="355" t="n"/>
    </row>
    <row r="875">
      <c r="A875" s="355" t="n"/>
      <c r="B875" s="355" t="n"/>
    </row>
    <row r="876">
      <c r="A876" s="355" t="n"/>
      <c r="B876" s="355" t="n"/>
    </row>
    <row r="877">
      <c r="A877" s="355" t="n"/>
      <c r="B877" s="355" t="n"/>
    </row>
    <row r="878">
      <c r="A878" s="355" t="n"/>
      <c r="B878" s="355" t="n"/>
    </row>
    <row r="879">
      <c r="A879" s="355" t="n"/>
      <c r="B879" s="355" t="n"/>
    </row>
    <row r="880">
      <c r="A880" s="355" t="n"/>
      <c r="B880" s="355" t="n"/>
    </row>
    <row r="881">
      <c r="A881" s="355" t="n"/>
      <c r="B881" s="355" t="n"/>
    </row>
    <row r="882">
      <c r="A882" s="355" t="n"/>
      <c r="B882" s="355" t="n"/>
    </row>
    <row r="883">
      <c r="A883" s="355" t="n"/>
      <c r="B883" s="355" t="n"/>
    </row>
    <row r="884">
      <c r="A884" s="355" t="n"/>
      <c r="B884" s="355" t="n"/>
    </row>
    <row r="885">
      <c r="A885" s="355" t="n"/>
      <c r="B885" s="355" t="n"/>
    </row>
    <row r="886">
      <c r="A886" s="355" t="n"/>
      <c r="B886" s="355" t="n"/>
    </row>
    <row r="887">
      <c r="A887" s="355" t="n"/>
      <c r="B887" s="355" t="n"/>
    </row>
    <row r="888">
      <c r="A888" s="355" t="n"/>
      <c r="B888" s="355" t="n"/>
    </row>
    <row r="889">
      <c r="A889" s="355" t="n"/>
      <c r="B889" s="355" t="n"/>
    </row>
    <row r="890">
      <c r="A890" s="355" t="n"/>
      <c r="B890" s="355" t="n"/>
    </row>
    <row r="891">
      <c r="A891" s="355" t="n"/>
      <c r="B891" s="355" t="n"/>
    </row>
    <row r="892">
      <c r="A892" s="355" t="n"/>
      <c r="B892" s="355" t="n"/>
    </row>
    <row r="893">
      <c r="A893" s="355" t="n"/>
      <c r="B893" s="355" t="n"/>
    </row>
    <row r="894">
      <c r="A894" s="355" t="n"/>
      <c r="B894" s="355" t="n"/>
    </row>
    <row r="895">
      <c r="A895" s="355" t="n"/>
      <c r="B895" s="355" t="n"/>
    </row>
    <row r="896">
      <c r="A896" s="355" t="n"/>
      <c r="B896" s="355" t="n"/>
    </row>
    <row r="897">
      <c r="A897" s="355" t="n"/>
      <c r="B897" s="355" t="n"/>
    </row>
    <row r="898">
      <c r="A898" s="355" t="n"/>
      <c r="B898" s="355" t="n"/>
    </row>
    <row r="899">
      <c r="A899" s="355" t="n"/>
      <c r="B899" s="355" t="n"/>
    </row>
    <row r="900">
      <c r="A900" s="355" t="n"/>
      <c r="B900" s="355" t="n"/>
    </row>
    <row r="901">
      <c r="A901" s="355" t="n"/>
      <c r="B901" s="355" t="n"/>
    </row>
    <row r="902">
      <c r="A902" s="355" t="n"/>
      <c r="B902" s="355" t="n"/>
    </row>
    <row r="903">
      <c r="A903" s="355" t="n"/>
      <c r="B903" s="355" t="n"/>
    </row>
    <row r="904">
      <c r="A904" s="355" t="n"/>
      <c r="B904" s="355" t="n"/>
    </row>
    <row r="905">
      <c r="A905" s="355" t="n"/>
      <c r="B905" s="355" t="n"/>
    </row>
    <row r="906">
      <c r="A906" s="355" t="n"/>
      <c r="B906" s="355" t="n"/>
    </row>
    <row r="907">
      <c r="A907" s="355" t="n"/>
      <c r="B907" s="355" t="n"/>
    </row>
    <row r="908">
      <c r="A908" s="355" t="n"/>
      <c r="B908" s="355" t="n"/>
    </row>
    <row r="909">
      <c r="A909" s="355" t="n"/>
      <c r="B909" s="355" t="n"/>
    </row>
    <row r="910">
      <c r="A910" s="355" t="n"/>
      <c r="B910" s="355" t="n"/>
    </row>
    <row r="911">
      <c r="A911" s="355" t="n"/>
      <c r="B911" s="355" t="n"/>
    </row>
    <row r="912">
      <c r="A912" s="355" t="n"/>
      <c r="B912" s="355" t="n"/>
    </row>
    <row r="913">
      <c r="A913" s="355" t="n"/>
      <c r="B913" s="355" t="n"/>
    </row>
    <row r="914">
      <c r="A914" s="355" t="n"/>
      <c r="B914" s="355" t="n"/>
    </row>
    <row r="915">
      <c r="A915" s="355" t="n"/>
      <c r="B915" s="355" t="n"/>
    </row>
    <row r="916">
      <c r="A916" s="355" t="n"/>
      <c r="B916" s="355" t="n"/>
    </row>
    <row r="917">
      <c r="A917" s="355" t="n"/>
      <c r="B917" s="355" t="n"/>
    </row>
    <row r="918">
      <c r="A918" s="355" t="n"/>
      <c r="B918" s="355" t="n"/>
    </row>
    <row r="919">
      <c r="A919" s="355" t="n"/>
      <c r="B919" s="355" t="n"/>
    </row>
    <row r="920">
      <c r="A920" s="355" t="n"/>
      <c r="B920" s="355" t="n"/>
    </row>
    <row r="921">
      <c r="A921" s="355" t="n"/>
      <c r="B921" s="355" t="n"/>
    </row>
    <row r="922">
      <c r="A922" s="355" t="n"/>
      <c r="B922" s="355" t="n"/>
    </row>
    <row r="923">
      <c r="A923" s="355" t="n"/>
      <c r="B923" s="355" t="n"/>
    </row>
    <row r="924">
      <c r="A924" s="355" t="n"/>
      <c r="B924" s="355" t="n"/>
    </row>
    <row r="925">
      <c r="A925" s="355" t="n"/>
      <c r="B925" s="355" t="n"/>
    </row>
    <row r="926">
      <c r="A926" s="355" t="n"/>
      <c r="B926" s="355" t="n"/>
    </row>
    <row r="927">
      <c r="A927" s="355" t="n"/>
      <c r="B927" s="355" t="n"/>
    </row>
    <row r="928">
      <c r="A928" s="355" t="n"/>
      <c r="B928" s="355" t="n"/>
    </row>
    <row r="929">
      <c r="A929" s="355" t="n"/>
      <c r="B929" s="355" t="n"/>
    </row>
    <row r="930">
      <c r="A930" s="355" t="n"/>
      <c r="B930" s="355" t="n"/>
    </row>
    <row r="931">
      <c r="A931" s="355" t="n"/>
      <c r="B931" s="355" t="n"/>
    </row>
    <row r="932">
      <c r="A932" s="355" t="n"/>
      <c r="B932" s="355" t="n"/>
    </row>
    <row r="933">
      <c r="A933" s="355" t="n"/>
      <c r="B933" s="355" t="n"/>
    </row>
    <row r="934">
      <c r="A934" s="355" t="n"/>
      <c r="B934" s="355" t="n"/>
    </row>
    <row r="935">
      <c r="A935" s="355" t="n"/>
      <c r="B935" s="355" t="n"/>
    </row>
    <row r="936">
      <c r="A936" s="355" t="n"/>
      <c r="B936" s="355" t="n"/>
    </row>
    <row r="937">
      <c r="A937" s="355" t="n"/>
      <c r="B937" s="355" t="n"/>
    </row>
    <row r="938">
      <c r="A938" s="355" t="n"/>
      <c r="B938" s="355" t="n"/>
    </row>
    <row r="939">
      <c r="A939" s="355" t="n"/>
      <c r="B939" s="355" t="n"/>
    </row>
    <row r="940">
      <c r="A940" s="355" t="n"/>
      <c r="B940" s="355" t="n"/>
    </row>
    <row r="941">
      <c r="A941" s="355" t="n"/>
      <c r="B941" s="355" t="n"/>
    </row>
    <row r="942">
      <c r="A942" s="355" t="n"/>
      <c r="B942" s="355" t="n"/>
    </row>
    <row r="943">
      <c r="A943" s="355" t="n"/>
      <c r="B943" s="355" t="n"/>
    </row>
    <row r="944">
      <c r="A944" s="355" t="n"/>
      <c r="B944" s="355" t="n"/>
    </row>
    <row r="945">
      <c r="A945" s="355" t="n"/>
      <c r="B945" s="355" t="n"/>
    </row>
    <row r="946">
      <c r="A946" s="355" t="n"/>
      <c r="B946" s="355" t="n"/>
    </row>
    <row r="947">
      <c r="A947" s="355" t="n"/>
      <c r="B947" s="355" t="n"/>
    </row>
    <row r="948">
      <c r="A948" s="355" t="n"/>
      <c r="B948" s="355" t="n"/>
    </row>
    <row r="949">
      <c r="A949" s="355" t="n"/>
      <c r="B949" s="355" t="n"/>
    </row>
    <row r="950">
      <c r="A950" s="355" t="n"/>
      <c r="B950" s="355" t="n"/>
    </row>
    <row r="951">
      <c r="A951" s="355" t="n"/>
      <c r="B951" s="355" t="n"/>
    </row>
    <row r="952">
      <c r="A952" s="355" t="n"/>
      <c r="B952" s="355" t="n"/>
    </row>
    <row r="953">
      <c r="A953" s="355" t="n"/>
      <c r="B953" s="355" t="n"/>
    </row>
    <row r="954">
      <c r="A954" s="355" t="n"/>
      <c r="B954" s="355" t="n"/>
    </row>
    <row r="955">
      <c r="A955" s="355" t="n"/>
      <c r="B955" s="355" t="n"/>
    </row>
    <row r="956">
      <c r="A956" s="355" t="n"/>
      <c r="B956" s="355" t="n"/>
    </row>
    <row r="957">
      <c r="A957" s="355" t="n"/>
      <c r="B957" s="355" t="n"/>
    </row>
    <row r="958">
      <c r="A958" s="355" t="n"/>
      <c r="B958" s="355" t="n"/>
    </row>
    <row r="959">
      <c r="A959" s="355" t="n"/>
      <c r="B959" s="355" t="n"/>
    </row>
    <row r="960">
      <c r="A960" s="355" t="n"/>
      <c r="B960" s="355" t="n"/>
    </row>
    <row r="961">
      <c r="A961" s="355" t="n"/>
      <c r="B961" s="355" t="n"/>
    </row>
    <row r="962">
      <c r="A962" s="355" t="n"/>
      <c r="B962" s="355" t="n"/>
    </row>
    <row r="963">
      <c r="A963" s="355" t="n"/>
      <c r="B963" s="355" t="n"/>
    </row>
    <row r="964">
      <c r="A964" s="355" t="n"/>
      <c r="B964" s="355" t="n"/>
    </row>
    <row r="965">
      <c r="A965" s="355" t="n"/>
      <c r="B965" s="355" t="n"/>
    </row>
    <row r="966">
      <c r="A966" s="355" t="n"/>
      <c r="B966" s="355" t="n"/>
    </row>
    <row r="967">
      <c r="A967" s="355" t="n"/>
      <c r="B967" s="355" t="n"/>
    </row>
    <row r="968">
      <c r="A968" s="355" t="n"/>
      <c r="B968" s="355" t="n"/>
    </row>
    <row r="969">
      <c r="A969" s="355" t="n"/>
      <c r="B969" s="355" t="n"/>
    </row>
    <row r="970">
      <c r="A970" s="355" t="n"/>
      <c r="B970" s="355" t="n"/>
    </row>
    <row r="971">
      <c r="A971" s="355" t="n"/>
      <c r="B971" s="355" t="n"/>
    </row>
    <row r="972">
      <c r="A972" s="355" t="n"/>
      <c r="B972" s="355" t="n"/>
    </row>
    <row r="973">
      <c r="A973" s="355" t="n"/>
      <c r="B973" s="355" t="n"/>
    </row>
    <row r="974">
      <c r="A974" s="355" t="n"/>
      <c r="B974" s="355" t="n"/>
    </row>
    <row r="975">
      <c r="A975" s="355" t="n"/>
      <c r="B975" s="355" t="n"/>
    </row>
    <row r="976">
      <c r="A976" s="355" t="n"/>
      <c r="B976" s="355" t="n"/>
    </row>
    <row r="977">
      <c r="A977" s="355" t="n"/>
      <c r="B977" s="355" t="n"/>
    </row>
    <row r="978">
      <c r="A978" s="355" t="n"/>
      <c r="B978" s="355" t="n"/>
    </row>
    <row r="979">
      <c r="A979" s="355" t="n"/>
      <c r="B979" s="355" t="n"/>
    </row>
    <row r="980">
      <c r="A980" s="355" t="n"/>
      <c r="B980" s="355" t="n"/>
    </row>
    <row r="981">
      <c r="A981" s="355" t="n"/>
      <c r="B981" s="355" t="n"/>
    </row>
    <row r="982">
      <c r="A982" s="355" t="n"/>
      <c r="B982" s="355" t="n"/>
    </row>
    <row r="983">
      <c r="A983" s="355" t="n"/>
      <c r="B983" s="355" t="n"/>
    </row>
    <row r="984">
      <c r="A984" s="355" t="n"/>
      <c r="B984" s="355" t="n"/>
    </row>
    <row r="985">
      <c r="A985" s="355" t="n"/>
      <c r="B985" s="355" t="n"/>
    </row>
    <row r="986">
      <c r="A986" s="355" t="n"/>
      <c r="B986" s="355" t="n"/>
    </row>
    <row r="987">
      <c r="A987" s="355" t="n"/>
      <c r="B987" s="355" t="n"/>
    </row>
    <row r="988">
      <c r="A988" s="355" t="n"/>
      <c r="B988" s="355" t="n"/>
    </row>
    <row r="989">
      <c r="A989" s="355" t="n"/>
      <c r="B989" s="355" t="n"/>
    </row>
    <row r="990">
      <c r="A990" s="355" t="n"/>
      <c r="B990" s="355" t="n"/>
    </row>
    <row r="991">
      <c r="A991" s="355" t="n"/>
      <c r="B991" s="355" t="n"/>
    </row>
    <row r="992">
      <c r="A992" s="355" t="n"/>
      <c r="B992" s="355" t="n"/>
    </row>
    <row r="993">
      <c r="A993" s="355" t="n"/>
      <c r="B993" s="355" t="n"/>
    </row>
  </sheetData>
  <pageMargins left="0.75" right="0.75" top="1" bottom="1" header="0.5" footer="0.5"/>
</worksheet>
</file>

<file path=xl/worksheets/sheet2.xml><?xml version="1.0" encoding="utf-8"?>
<worksheet xmlns="http://schemas.openxmlformats.org/spreadsheetml/2006/main">
  <sheetPr>
    <tabColor rgb="FFFF9900"/>
    <outlinePr summaryRight="0"/>
    <pageSetUpPr/>
  </sheetPr>
  <dimension ref="A1:Z1135"/>
  <sheetViews>
    <sheetView showGridLines="0" workbookViewId="0">
      <selection activeCell="A1" sqref="A1"/>
    </sheetView>
  </sheetViews>
  <sheetFormatPr baseColWidth="8" defaultColWidth="12.63" defaultRowHeight="15.75" customHeight="1" outlineLevelRow="1"/>
  <cols>
    <col width="3.25" customWidth="1" style="477" min="1" max="1"/>
    <col width="31.13" customWidth="1" style="477" min="2" max="2"/>
    <col width="55.13" customWidth="1" style="477" min="3" max="3"/>
    <col outlineLevel="1" width="65.75" customWidth="1" style="477" min="4" max="4"/>
    <col width="52.5" customWidth="1" style="477" min="5" max="5"/>
    <col width="31" customWidth="1" style="477" min="6" max="6"/>
  </cols>
  <sheetData>
    <row r="1" ht="12" customHeight="1" s="477">
      <c r="A1" s="69" t="n"/>
      <c r="B1" s="72" t="n"/>
      <c r="C1" s="73" t="n"/>
      <c r="D1" s="69" t="n"/>
      <c r="E1" s="73" t="n"/>
      <c r="F1" s="69" t="n"/>
    </row>
    <row r="2">
      <c r="A2" s="69" t="n"/>
      <c r="B2" s="72" t="inlineStr">
        <is>
          <t>◼️シート作成</t>
        </is>
      </c>
      <c r="C2" s="73" t="n"/>
      <c r="D2" s="69" t="n"/>
      <c r="E2" s="73" t="n"/>
      <c r="F2" s="69" t="n"/>
    </row>
    <row r="3">
      <c r="A3" s="69" t="n"/>
      <c r="B3" s="72" t="inlineStr">
        <is>
          <t>◼️ダブルチェック</t>
        </is>
      </c>
      <c r="C3" s="73" t="n"/>
      <c r="D3" s="69" t="n"/>
      <c r="E3" s="73" t="n"/>
      <c r="F3" s="69" t="n"/>
    </row>
    <row r="4">
      <c r="A4" s="69" t="n"/>
      <c r="B4" s="72" t="n"/>
      <c r="C4" s="73" t="n"/>
      <c r="D4" s="69" t="n"/>
      <c r="E4" s="73" t="n"/>
      <c r="F4" s="69" t="n"/>
    </row>
    <row r="5">
      <c r="A5" s="94" t="n"/>
      <c r="B5" s="478" t="inlineStr">
        <is>
          <t>GビズIDプライム</t>
        </is>
      </c>
      <c r="C5" s="479" t="n"/>
      <c r="D5" s="479" t="n"/>
      <c r="E5" s="480" t="n"/>
      <c r="F5" s="94" t="n"/>
      <c r="G5" s="94" t="n"/>
      <c r="H5" s="169" t="n"/>
      <c r="I5" s="169" t="n"/>
      <c r="J5" s="169" t="n"/>
      <c r="K5" s="169" t="n"/>
      <c r="L5" s="169" t="n"/>
      <c r="M5" s="169" t="n"/>
      <c r="N5" s="169" t="n"/>
      <c r="O5" s="169" t="n"/>
      <c r="P5" s="169" t="n"/>
      <c r="Q5" s="169" t="n"/>
      <c r="R5" s="169" t="n"/>
      <c r="S5" s="169" t="n"/>
      <c r="T5" s="169" t="n"/>
      <c r="U5" s="169" t="n"/>
      <c r="V5" s="169" t="n"/>
      <c r="W5" s="169" t="n"/>
      <c r="X5" s="169" t="n"/>
      <c r="Y5" s="169" t="n"/>
      <c r="Z5" s="169" t="n"/>
    </row>
    <row r="6" ht="21.75" customHeight="1" s="477">
      <c r="A6" s="94" t="n"/>
      <c r="B6" s="481">
        <f>'転記'!B6</f>
        <v/>
      </c>
      <c r="C6" s="482" t="n"/>
      <c r="D6" s="482" t="n"/>
      <c r="E6" s="483" t="n"/>
      <c r="F6" s="94" t="n"/>
      <c r="G6" s="94" t="n"/>
      <c r="H6" s="169" t="n"/>
      <c r="I6" s="169" t="n"/>
      <c r="J6" s="169" t="n"/>
      <c r="K6" s="169" t="n"/>
      <c r="L6" s="169" t="n"/>
      <c r="M6" s="169" t="n"/>
      <c r="N6" s="169" t="n"/>
      <c r="O6" s="169" t="n"/>
      <c r="P6" s="169" t="n"/>
      <c r="Q6" s="169" t="n"/>
      <c r="R6" s="169" t="n"/>
      <c r="S6" s="169" t="n"/>
      <c r="T6" s="169" t="n"/>
      <c r="U6" s="169" t="n"/>
      <c r="V6" s="169" t="n"/>
      <c r="W6" s="169" t="n"/>
      <c r="X6" s="169" t="n"/>
      <c r="Y6" s="169" t="n"/>
      <c r="Z6" s="169" t="n"/>
    </row>
    <row r="7" outlineLevel="1" s="477">
      <c r="A7" s="69" t="n"/>
      <c r="B7" s="72" t="n"/>
      <c r="C7" s="73" t="n"/>
      <c r="D7" s="69" t="n"/>
      <c r="E7" s="73" t="n"/>
      <c r="F7" s="69" t="n"/>
    </row>
    <row r="8" outlineLevel="1" s="477">
      <c r="A8" s="94" t="n"/>
      <c r="B8" s="484" t="inlineStr">
        <is>
          <t>申請時添付資料</t>
        </is>
      </c>
      <c r="C8" s="479" t="n"/>
      <c r="D8" s="485" t="n"/>
      <c r="E8" s="82" t="inlineStr">
        <is>
          <t>資料例</t>
        </is>
      </c>
      <c r="F8" s="94" t="n"/>
      <c r="G8" s="94" t="n"/>
      <c r="H8" s="169" t="n"/>
      <c r="I8" s="169" t="n"/>
      <c r="J8" s="169" t="n"/>
      <c r="K8" s="169" t="n"/>
      <c r="L8" s="169" t="n"/>
      <c r="M8" s="169" t="n"/>
      <c r="N8" s="169" t="n"/>
      <c r="O8" s="169" t="n"/>
      <c r="P8" s="169" t="n"/>
      <c r="Q8" s="169" t="n"/>
      <c r="R8" s="169" t="n"/>
      <c r="S8" s="169" t="n"/>
      <c r="T8" s="169" t="n"/>
      <c r="U8" s="169" t="n"/>
      <c r="V8" s="169" t="n"/>
      <c r="W8" s="169" t="n"/>
      <c r="X8" s="169" t="n"/>
      <c r="Y8" s="169" t="n"/>
      <c r="Z8" s="169" t="n"/>
    </row>
    <row r="9" outlineLevel="1" s="477">
      <c r="A9" s="94" t="n"/>
      <c r="B9" s="83" t="b">
        <v>0</v>
      </c>
      <c r="C9" s="101" t="inlineStr">
        <is>
          <t>履歴事項全部証明書の写し</t>
        </is>
      </c>
      <c r="D9" s="87" t="inlineStr">
        <is>
          <t>・申請日の3ヶ月以内の取得
・法務局で取得している</t>
        </is>
      </c>
      <c r="E9" s="86" t="inlineStr">
        <is>
          <t>履歴事項全部証明書.pdf</t>
        </is>
      </c>
      <c r="F9" s="94" t="n"/>
      <c r="G9" s="94" t="n"/>
      <c r="H9" s="169" t="n"/>
      <c r="I9" s="169" t="n"/>
      <c r="J9" s="169" t="n"/>
      <c r="K9" s="169" t="n"/>
      <c r="L9" s="169" t="n"/>
      <c r="M9" s="169" t="n"/>
      <c r="N9" s="169" t="n"/>
      <c r="O9" s="169" t="n"/>
      <c r="P9" s="169" t="n"/>
      <c r="Q9" s="169" t="n"/>
      <c r="R9" s="169" t="n"/>
      <c r="S9" s="169" t="n"/>
      <c r="T9" s="169" t="n"/>
      <c r="U9" s="169" t="n"/>
      <c r="V9" s="169" t="n"/>
      <c r="W9" s="169" t="n"/>
      <c r="X9" s="169" t="n"/>
      <c r="Y9" s="169" t="n"/>
      <c r="Z9" s="169" t="n"/>
    </row>
    <row r="10" outlineLevel="1" s="477">
      <c r="A10" s="94" t="n"/>
      <c r="B10" s="83" t="b">
        <v>0</v>
      </c>
      <c r="C10" s="101" t="inlineStr">
        <is>
          <t>法人税の納税証明書
（その１もしくはその２）</t>
        </is>
      </c>
      <c r="D10" s="87" t="inlineStr">
        <is>
          <t>・法人税である
・「その１」もしくは「その２」である（※その３は不可）
・納税額 0円でもOK
・発行元：税務署</t>
        </is>
      </c>
      <c r="E10" s="86" t="inlineStr">
        <is>
          <t>納税証明書（法人）.pdf</t>
        </is>
      </c>
      <c r="F10" s="94" t="n"/>
      <c r="G10" s="94" t="n"/>
      <c r="H10" s="169" t="n"/>
      <c r="I10" s="169" t="n"/>
      <c r="J10" s="169" t="n"/>
      <c r="K10" s="169" t="n"/>
      <c r="L10" s="169" t="n"/>
      <c r="M10" s="169" t="n"/>
      <c r="N10" s="169" t="n"/>
      <c r="O10" s="169" t="n"/>
      <c r="P10" s="169" t="n"/>
      <c r="Q10" s="169" t="n"/>
      <c r="R10" s="169" t="n"/>
      <c r="S10" s="169" t="n"/>
      <c r="T10" s="169" t="n"/>
      <c r="U10" s="169" t="n"/>
      <c r="V10" s="169" t="n"/>
      <c r="W10" s="169" t="n"/>
      <c r="X10" s="169" t="n"/>
      <c r="Y10" s="169" t="n"/>
      <c r="Z10" s="169" t="n"/>
    </row>
    <row r="11" outlineLevel="1" s="477">
      <c r="A11" s="94" t="n"/>
      <c r="B11" s="83" t="b">
        <v>0</v>
      </c>
      <c r="C11" s="101" t="inlineStr">
        <is>
          <t>「IT戦略ナビwith」の実施結果/PDF</t>
        </is>
      </c>
      <c r="D11" s="88" t="inlineStr">
        <is>
          <t>・gBizIDプライム（メールアドレス）が確認できる
・資料の枚数が揃っている</t>
        </is>
      </c>
      <c r="E11" s="86" t="inlineStr">
        <is>
          <t>IT戦略ナビwith</t>
        </is>
      </c>
      <c r="F11" s="94" t="n"/>
      <c r="G11" s="94" t="n"/>
      <c r="H11" s="169" t="n"/>
      <c r="I11" s="169" t="n"/>
      <c r="J11" s="169" t="n"/>
      <c r="K11" s="169" t="n"/>
      <c r="L11" s="169" t="n"/>
      <c r="M11" s="169" t="n"/>
      <c r="N11" s="169" t="n"/>
      <c r="O11" s="169" t="n"/>
      <c r="P11" s="169" t="n"/>
      <c r="Q11" s="169" t="n"/>
      <c r="R11" s="169" t="n"/>
      <c r="S11" s="169" t="n"/>
      <c r="T11" s="169" t="n"/>
      <c r="U11" s="169" t="n"/>
      <c r="V11" s="169" t="n"/>
      <c r="W11" s="169" t="n"/>
      <c r="X11" s="169" t="n"/>
      <c r="Y11" s="169" t="n"/>
      <c r="Z11" s="169" t="n"/>
    </row>
    <row r="12" outlineLevel="1" s="477">
      <c r="A12" s="69" t="n"/>
      <c r="B12" s="72" t="n"/>
      <c r="C12" s="73" t="n"/>
      <c r="D12" s="69" t="n"/>
      <c r="E12" s="73" t="n"/>
      <c r="F12" s="69" t="n"/>
      <c r="G12" s="462" t="n"/>
      <c r="H12" s="462" t="n"/>
      <c r="I12" s="462" t="n"/>
      <c r="J12" s="462" t="n"/>
      <c r="K12" s="462" t="n"/>
      <c r="L12" s="462" t="n"/>
      <c r="M12" s="462" t="n"/>
      <c r="N12" s="462" t="n"/>
      <c r="O12" s="462" t="n"/>
      <c r="P12" s="462" t="n"/>
      <c r="Q12" s="462" t="n"/>
      <c r="R12" s="462" t="n"/>
      <c r="S12" s="462" t="n"/>
      <c r="T12" s="462" t="n"/>
      <c r="U12" s="462" t="n"/>
      <c r="V12" s="462" t="n"/>
      <c r="W12" s="462" t="n"/>
      <c r="X12" s="462" t="n"/>
      <c r="Y12" s="462" t="n"/>
      <c r="Z12" s="462" t="n"/>
    </row>
    <row r="13" outlineLevel="1" s="477">
      <c r="A13" s="94" t="n"/>
      <c r="B13" s="484" t="inlineStr">
        <is>
          <t>フォーマット作成者 チェック項目</t>
        </is>
      </c>
      <c r="C13" s="479" t="n"/>
      <c r="D13" s="485" t="n"/>
      <c r="E13" s="82" t="inlineStr">
        <is>
          <t>資料例</t>
        </is>
      </c>
      <c r="F13" s="94" t="n"/>
      <c r="G13" s="94" t="n"/>
      <c r="H13" s="169" t="n"/>
      <c r="I13" s="169" t="n"/>
      <c r="J13" s="169" t="n"/>
      <c r="K13" s="169" t="n"/>
      <c r="L13" s="169" t="n"/>
      <c r="M13" s="169" t="n"/>
      <c r="N13" s="169" t="n"/>
      <c r="O13" s="169" t="n"/>
      <c r="P13" s="169" t="n"/>
      <c r="Q13" s="169" t="n"/>
      <c r="R13" s="169" t="n"/>
      <c r="S13" s="169" t="n"/>
      <c r="T13" s="169" t="n"/>
      <c r="U13" s="169" t="n"/>
      <c r="V13" s="169" t="n"/>
      <c r="W13" s="169" t="n"/>
      <c r="X13" s="169" t="n"/>
      <c r="Y13" s="169" t="n"/>
      <c r="Z13" s="169" t="n"/>
    </row>
    <row r="14" outlineLevel="1" s="477">
      <c r="A14" s="94" t="n"/>
      <c r="B14" s="486" t="b">
        <v>0</v>
      </c>
      <c r="C14" s="91" t="inlineStr">
        <is>
          <t>過去採択者検索</t>
        </is>
      </c>
      <c r="D14" s="92" t="inlineStr">
        <is>
          <t xml:space="preserve">補助金採択事業者
</t>
        </is>
      </c>
      <c r="E14" s="93" t="inlineStr">
        <is>
          <t>補助金採択事業者（https://mirasapo-connect.go.jp/chusho-subsidies）にて確認
※ 2022以前はExcelで確認
採択事業者チェックシート.xlsx</t>
        </is>
      </c>
      <c r="F14" s="94" t="n"/>
      <c r="G14" s="94" t="n"/>
      <c r="H14" s="169" t="n"/>
      <c r="I14" s="169" t="n"/>
      <c r="J14" s="169" t="n"/>
      <c r="K14" s="169" t="n"/>
      <c r="L14" s="169" t="n"/>
      <c r="M14" s="169" t="n"/>
      <c r="N14" s="169" t="n"/>
      <c r="O14" s="169" t="n"/>
      <c r="P14" s="169" t="n"/>
      <c r="Q14" s="169" t="n"/>
      <c r="R14" s="169" t="n"/>
      <c r="S14" s="169" t="n"/>
      <c r="T14" s="169" t="n"/>
      <c r="U14" s="169" t="n"/>
      <c r="V14" s="169" t="n"/>
      <c r="W14" s="169" t="n"/>
      <c r="X14" s="169" t="n"/>
      <c r="Y14" s="169" t="n"/>
      <c r="Z14" s="169" t="n"/>
    </row>
    <row r="15" outlineLevel="1" s="477">
      <c r="A15" s="94" t="n"/>
      <c r="B15" s="487" t="n"/>
      <c r="C15" s="488" t="inlineStr">
        <is>
          <t>⇨ありの場合
過去ツール内容をこちらに記載</t>
        </is>
      </c>
      <c r="D15" s="489" t="n"/>
      <c r="E15" s="490" t="n"/>
      <c r="F15" s="94" t="n"/>
      <c r="G15" s="94" t="n"/>
      <c r="H15" s="169" t="n"/>
      <c r="I15" s="169" t="n"/>
      <c r="J15" s="169" t="n"/>
      <c r="K15" s="169" t="n"/>
      <c r="L15" s="169" t="n"/>
      <c r="M15" s="169" t="n"/>
      <c r="N15" s="169" t="n"/>
      <c r="O15" s="169" t="n"/>
      <c r="P15" s="169" t="n"/>
      <c r="Q15" s="169" t="n"/>
      <c r="R15" s="169" t="n"/>
      <c r="S15" s="169" t="n"/>
      <c r="T15" s="169" t="n"/>
      <c r="U15" s="169" t="n"/>
      <c r="V15" s="169" t="n"/>
      <c r="W15" s="169" t="n"/>
      <c r="X15" s="169" t="n"/>
      <c r="Y15" s="169" t="n"/>
      <c r="Z15" s="169" t="n"/>
    </row>
    <row r="16" outlineLevel="1" s="477">
      <c r="A16" s="94" t="n"/>
      <c r="B16" s="83" t="b">
        <v>0</v>
      </c>
      <c r="C16" s="99" t="inlineStr">
        <is>
          <t>「成長加速マッチングサービス」の実施/画面スクショ</t>
        </is>
      </c>
      <c r="D16" s="100" t="inlineStr">
        <is>
          <t>・登録されている挑戦課題のステータスが「掲載中」となっている</t>
        </is>
      </c>
      <c r="E16" s="86" t="inlineStr">
        <is>
          <t>成長加速マッチングサービス</t>
        </is>
      </c>
      <c r="F16" s="94" t="n"/>
      <c r="G16" s="94" t="n"/>
      <c r="H16" s="169" t="n"/>
      <c r="I16" s="169" t="n"/>
      <c r="J16" s="169" t="n"/>
      <c r="K16" s="169" t="n"/>
      <c r="L16" s="169" t="n"/>
      <c r="M16" s="169" t="n"/>
      <c r="N16" s="169" t="n"/>
      <c r="O16" s="169" t="n"/>
      <c r="P16" s="169" t="n"/>
      <c r="Q16" s="169" t="n"/>
      <c r="R16" s="169" t="n"/>
      <c r="S16" s="169" t="n"/>
      <c r="T16" s="169" t="n"/>
      <c r="U16" s="169" t="n"/>
      <c r="V16" s="169" t="n"/>
      <c r="W16" s="169" t="n"/>
      <c r="X16" s="169" t="n"/>
      <c r="Y16" s="169" t="n"/>
      <c r="Z16" s="169" t="n"/>
    </row>
    <row r="17" outlineLevel="1" s="477">
      <c r="A17" s="94" t="n"/>
      <c r="B17" s="83" t="b">
        <v>0</v>
      </c>
      <c r="C17" s="101" t="inlineStr">
        <is>
          <t>「省力化ナビ」</t>
        </is>
      </c>
      <c r="D17" s="87" t="n"/>
      <c r="E17" s="102" t="n"/>
      <c r="F17" s="94" t="n"/>
      <c r="G17" s="94" t="n"/>
      <c r="H17" s="169" t="n"/>
      <c r="I17" s="169" t="n"/>
      <c r="J17" s="169" t="n"/>
      <c r="K17" s="169" t="n"/>
      <c r="L17" s="169" t="n"/>
      <c r="M17" s="169" t="n"/>
      <c r="N17" s="169" t="n"/>
      <c r="O17" s="169" t="n"/>
      <c r="P17" s="169" t="n"/>
      <c r="Q17" s="169" t="n"/>
      <c r="R17" s="169" t="n"/>
      <c r="S17" s="169" t="n"/>
      <c r="T17" s="169" t="n"/>
      <c r="U17" s="169" t="n"/>
      <c r="V17" s="169" t="n"/>
      <c r="W17" s="169" t="n"/>
      <c r="X17" s="169" t="n"/>
      <c r="Y17" s="169" t="n"/>
      <c r="Z17" s="169" t="n"/>
    </row>
    <row r="18" outlineLevel="1" s="477">
      <c r="A18" s="94" t="n"/>
      <c r="B18" s="83" t="b">
        <v>0</v>
      </c>
      <c r="C18" s="101" t="inlineStr">
        <is>
          <t>決算書2期分（製造原価報告書）</t>
        </is>
      </c>
      <c r="D18" s="87" t="inlineStr">
        <is>
          <t>・製造業をされてる場合は「製造原価報告書」も必要
　→無い場合はお客様へ確認(※子会社で製造や外注等で無い場合もあり)
・直近分の貸借対照表と損益計算書は申請時に提出</t>
        </is>
      </c>
      <c r="E18" s="102" t="n"/>
      <c r="F18" s="94" t="n"/>
      <c r="G18" s="94" t="n"/>
      <c r="H18" s="169" t="n"/>
      <c r="I18" s="169" t="n"/>
      <c r="J18" s="169" t="n"/>
      <c r="K18" s="169" t="n"/>
      <c r="L18" s="169" t="n"/>
      <c r="M18" s="169" t="n"/>
      <c r="N18" s="169" t="n"/>
      <c r="O18" s="169" t="n"/>
      <c r="P18" s="169" t="n"/>
      <c r="Q18" s="169" t="n"/>
      <c r="R18" s="169" t="n"/>
      <c r="S18" s="169" t="n"/>
      <c r="T18" s="169" t="n"/>
      <c r="U18" s="169" t="n"/>
      <c r="V18" s="169" t="n"/>
      <c r="W18" s="169" t="n"/>
      <c r="X18" s="169" t="n"/>
      <c r="Y18" s="169" t="n"/>
      <c r="Z18" s="169" t="n"/>
    </row>
    <row r="19" outlineLevel="1" s="477">
      <c r="A19" s="94" t="n"/>
      <c r="B19" s="83" t="b">
        <v>0</v>
      </c>
      <c r="C19" s="101" t="inlineStr">
        <is>
          <t>申請フォーマット　追記</t>
        </is>
      </c>
      <c r="D19" s="87" t="inlineStr">
        <is>
          <t>➀下記社内用申請ＦＭをコピーし、タイトル「お客様名_申請フォーマット」にする
②お客様が記入した申請ＦＭをこのスプレッドシートの「転記」へコピぺする
③社内用申請ＦＭに従い、内容をチェック・追記する（オレンジの項目）
④内容不備等の要確認の箇所はセルを赤にし、伝言事項に詳細を記入</t>
        </is>
      </c>
      <c r="E19" s="102" t="n"/>
      <c r="F19" s="94" t="n"/>
      <c r="G19" s="94" t="n"/>
      <c r="H19" s="169" t="n"/>
      <c r="I19" s="169" t="n"/>
      <c r="J19" s="169" t="n"/>
      <c r="K19" s="169" t="n"/>
      <c r="L19" s="169" t="n"/>
      <c r="M19" s="169" t="n"/>
      <c r="N19" s="169" t="n"/>
      <c r="O19" s="169" t="n"/>
      <c r="P19" s="169" t="n"/>
      <c r="Q19" s="169" t="n"/>
      <c r="R19" s="169" t="n"/>
      <c r="S19" s="169" t="n"/>
      <c r="T19" s="169" t="n"/>
      <c r="U19" s="169" t="n"/>
      <c r="V19" s="169" t="n"/>
      <c r="W19" s="169" t="n"/>
      <c r="X19" s="169" t="n"/>
      <c r="Y19" s="169" t="n"/>
      <c r="Z19" s="169" t="n"/>
    </row>
    <row r="20" outlineLevel="1" s="477">
      <c r="A20" s="94" t="n"/>
      <c r="B20" s="103" t="b">
        <v>0</v>
      </c>
      <c r="C20" s="104" t="inlineStr">
        <is>
          <t>申請金額の確認</t>
        </is>
      </c>
      <c r="D20" s="87" t="inlineStr">
        <is>
          <t>見積書をもとに『申請金額』シートへ記入
※見積書は各案件管理シートのGoogleフォームより確認</t>
        </is>
      </c>
      <c r="E20" s="102" t="n"/>
      <c r="F20" s="94" t="n"/>
      <c r="G20" s="94" t="n"/>
      <c r="H20" s="169" t="n"/>
      <c r="I20" s="169" t="n"/>
      <c r="J20" s="169" t="n"/>
      <c r="K20" s="169" t="n"/>
      <c r="L20" s="169" t="n"/>
      <c r="M20" s="169" t="n"/>
      <c r="N20" s="169" t="n"/>
      <c r="O20" s="169" t="n"/>
      <c r="P20" s="169" t="n"/>
      <c r="Q20" s="169" t="n"/>
      <c r="R20" s="169" t="n"/>
      <c r="S20" s="169" t="n"/>
      <c r="T20" s="169" t="n"/>
      <c r="U20" s="169" t="n"/>
      <c r="V20" s="169" t="n"/>
      <c r="W20" s="169" t="n"/>
      <c r="X20" s="169" t="n"/>
      <c r="Y20" s="169" t="n"/>
      <c r="Z20" s="169" t="n"/>
    </row>
    <row r="21" outlineLevel="1" s="477">
      <c r="A21" s="94" t="n"/>
      <c r="B21" s="83" t="b">
        <v>0</v>
      </c>
      <c r="C21" s="101" t="inlineStr">
        <is>
          <t>申請フォーマット　最終確認</t>
        </is>
      </c>
      <c r="D21" s="105" t="inlineStr">
        <is>
          <t>作成者自身でWチェック
⇨箕川さん作成のWチェックシート</t>
        </is>
      </c>
      <c r="E21" s="102" t="n"/>
      <c r="F21" s="94" t="n"/>
      <c r="G21" s="94" t="n"/>
      <c r="H21" s="169" t="n"/>
      <c r="I21" s="169" t="n"/>
      <c r="J21" s="169" t="n"/>
      <c r="K21" s="169" t="n"/>
      <c r="L21" s="169" t="n"/>
      <c r="M21" s="169" t="n"/>
      <c r="N21" s="169" t="n"/>
      <c r="O21" s="169" t="n"/>
      <c r="P21" s="169" t="n"/>
      <c r="Q21" s="169" t="n"/>
      <c r="R21" s="169" t="n"/>
      <c r="S21" s="169" t="n"/>
      <c r="T21" s="169" t="n"/>
      <c r="U21" s="169" t="n"/>
      <c r="V21" s="169" t="n"/>
      <c r="W21" s="169" t="n"/>
      <c r="X21" s="169" t="n"/>
      <c r="Y21" s="169" t="n"/>
      <c r="Z21" s="169" t="n"/>
    </row>
    <row r="22" outlineLevel="1" s="477">
      <c r="A22" s="69" t="n"/>
      <c r="B22" s="72" t="n"/>
      <c r="C22" s="73" t="n"/>
      <c r="D22" s="69" t="n"/>
      <c r="E22" s="73" t="n"/>
      <c r="F22" s="69" t="n"/>
      <c r="G22" s="462" t="n"/>
      <c r="H22" s="462" t="n"/>
      <c r="I22" s="462" t="n"/>
      <c r="J22" s="462" t="n"/>
      <c r="K22" s="462" t="n"/>
      <c r="L22" s="462" t="n"/>
      <c r="M22" s="462" t="n"/>
      <c r="N22" s="462" t="n"/>
      <c r="O22" s="462" t="n"/>
      <c r="P22" s="462" t="n"/>
      <c r="Q22" s="462" t="n"/>
      <c r="R22" s="462" t="n"/>
      <c r="S22" s="462" t="n"/>
      <c r="T22" s="462" t="n"/>
      <c r="U22" s="462" t="n"/>
      <c r="V22" s="462" t="n"/>
      <c r="W22" s="462" t="n"/>
      <c r="X22" s="462" t="n"/>
      <c r="Y22" s="462" t="n"/>
      <c r="Z22" s="462" t="n"/>
    </row>
    <row r="23" outlineLevel="1" s="477">
      <c r="A23" s="94" t="n"/>
      <c r="B23" s="478" t="inlineStr">
        <is>
          <t>ダブルチェック　※フォーマット作成者以外</t>
        </is>
      </c>
      <c r="C23" s="479" t="n"/>
      <c r="D23" s="479" t="n"/>
      <c r="E23" s="480" t="n"/>
      <c r="F23" s="94" t="n"/>
      <c r="G23" s="94" t="n"/>
      <c r="H23" s="169" t="n"/>
      <c r="I23" s="169" t="n"/>
      <c r="J23" s="169" t="n"/>
      <c r="K23" s="169" t="n"/>
      <c r="L23" s="169" t="n"/>
      <c r="M23" s="169" t="n"/>
      <c r="N23" s="169" t="n"/>
      <c r="O23" s="169" t="n"/>
      <c r="P23" s="169" t="n"/>
      <c r="Q23" s="169" t="n"/>
      <c r="R23" s="169" t="n"/>
      <c r="S23" s="169" t="n"/>
      <c r="T23" s="169" t="n"/>
      <c r="U23" s="169" t="n"/>
      <c r="V23" s="169" t="n"/>
      <c r="W23" s="169" t="n"/>
      <c r="X23" s="169" t="n"/>
      <c r="Y23" s="169" t="n"/>
      <c r="Z23" s="169" t="n"/>
    </row>
    <row r="24" outlineLevel="1" ht="23.25" customHeight="1" s="477">
      <c r="A24" s="94" t="n"/>
      <c r="B24" s="106" t="b">
        <v>0</v>
      </c>
      <c r="C24" s="491" t="inlineStr">
        <is>
          <t>資料確認</t>
        </is>
      </c>
      <c r="E24" s="492" t="n"/>
      <c r="F24" s="94" t="n"/>
      <c r="G24" s="94" t="n"/>
      <c r="H24" s="169" t="n"/>
      <c r="I24" s="169" t="n"/>
      <c r="J24" s="169" t="n"/>
      <c r="K24" s="169" t="n"/>
      <c r="L24" s="169" t="n"/>
      <c r="M24" s="169" t="n"/>
      <c r="N24" s="169" t="n"/>
      <c r="O24" s="169" t="n"/>
      <c r="P24" s="169" t="n"/>
      <c r="Q24" s="169" t="n"/>
      <c r="R24" s="169" t="n"/>
      <c r="S24" s="169" t="n"/>
      <c r="T24" s="169" t="n"/>
      <c r="U24" s="169" t="n"/>
      <c r="V24" s="169" t="n"/>
      <c r="W24" s="169" t="n"/>
      <c r="X24" s="169" t="n"/>
      <c r="Y24" s="169" t="n"/>
      <c r="Z24" s="169" t="n"/>
    </row>
    <row r="25" outlineLevel="1" ht="23.25" customHeight="1" s="477">
      <c r="A25" s="94" t="n"/>
      <c r="B25" s="109" t="b">
        <v>0</v>
      </c>
      <c r="C25" s="493" t="inlineStr">
        <is>
          <t>申請フォーマットの内容確認→案件管理表更新</t>
        </is>
      </c>
      <c r="D25" s="494" t="n"/>
      <c r="E25" s="495" t="n"/>
      <c r="F25" s="94" t="n"/>
      <c r="G25" s="94" t="n"/>
      <c r="H25" s="169" t="n"/>
      <c r="I25" s="169" t="n"/>
      <c r="J25" s="169" t="n"/>
      <c r="K25" s="169" t="n"/>
      <c r="L25" s="169" t="n"/>
      <c r="M25" s="169" t="n"/>
      <c r="N25" s="169" t="n"/>
      <c r="O25" s="169" t="n"/>
      <c r="P25" s="169" t="n"/>
      <c r="Q25" s="169" t="n"/>
      <c r="R25" s="169" t="n"/>
      <c r="S25" s="169" t="n"/>
      <c r="T25" s="169" t="n"/>
      <c r="U25" s="169" t="n"/>
      <c r="V25" s="169" t="n"/>
      <c r="W25" s="169" t="n"/>
      <c r="X25" s="169" t="n"/>
      <c r="Y25" s="169" t="n"/>
      <c r="Z25" s="169" t="n"/>
    </row>
    <row r="26" outlineLevel="1" s="477">
      <c r="A26" s="69" t="n"/>
      <c r="B26" s="72" t="n"/>
      <c r="C26" s="113" t="n"/>
      <c r="D26" s="114" t="n"/>
      <c r="E26" s="113" t="n"/>
      <c r="F26" s="69" t="n"/>
      <c r="G26" s="462" t="n"/>
      <c r="H26" s="462" t="n"/>
      <c r="I26" s="462" t="n"/>
      <c r="J26" s="462" t="n"/>
      <c r="K26" s="462" t="n"/>
      <c r="L26" s="462" t="n"/>
      <c r="M26" s="462" t="n"/>
      <c r="N26" s="462" t="n"/>
      <c r="O26" s="462" t="n"/>
      <c r="P26" s="462" t="n"/>
      <c r="Q26" s="462" t="n"/>
      <c r="R26" s="462" t="n"/>
      <c r="S26" s="462" t="n"/>
      <c r="T26" s="462" t="n"/>
      <c r="U26" s="462" t="n"/>
      <c r="V26" s="462" t="n"/>
      <c r="W26" s="462" t="n"/>
      <c r="X26" s="462" t="n"/>
      <c r="Y26" s="462" t="n"/>
      <c r="Z26" s="462" t="n"/>
    </row>
    <row r="27">
      <c r="A27" s="69" t="n"/>
      <c r="B27" s="124" t="n"/>
      <c r="C27" s="113" t="n"/>
      <c r="D27" s="114" t="n"/>
      <c r="E27" s="113" t="n"/>
      <c r="F27" s="69" t="n"/>
      <c r="G27" s="462" t="n"/>
      <c r="H27" s="462" t="n"/>
      <c r="I27" s="462" t="n"/>
      <c r="J27" s="462" t="n"/>
      <c r="K27" s="462" t="n"/>
      <c r="L27" s="462" t="n"/>
      <c r="M27" s="462" t="n"/>
      <c r="N27" s="462" t="n"/>
      <c r="O27" s="462" t="n"/>
      <c r="P27" s="462" t="n"/>
      <c r="Q27" s="462" t="n"/>
      <c r="R27" s="462" t="n"/>
      <c r="S27" s="462" t="n"/>
      <c r="T27" s="462" t="n"/>
      <c r="U27" s="462" t="n"/>
      <c r="V27" s="462" t="n"/>
      <c r="W27" s="462" t="n"/>
      <c r="X27" s="462" t="n"/>
      <c r="Y27" s="462" t="n"/>
      <c r="Z27" s="462" t="n"/>
    </row>
    <row r="28" ht="1.5" customHeight="1" s="477">
      <c r="A28" s="116" t="n"/>
      <c r="B28" s="117" t="n"/>
      <c r="C28" s="118" t="n"/>
      <c r="D28" s="119" t="n"/>
      <c r="E28" s="118" t="n"/>
      <c r="F28" s="116" t="n"/>
      <c r="G28" s="120" t="n"/>
      <c r="H28" s="121" t="n"/>
      <c r="I28" s="121" t="n"/>
      <c r="J28" s="121" t="n"/>
      <c r="K28" s="121" t="n"/>
      <c r="L28" s="121" t="n"/>
      <c r="M28" s="121" t="n"/>
      <c r="N28" s="121" t="n"/>
      <c r="O28" s="121" t="n"/>
      <c r="P28" s="121" t="n"/>
      <c r="Q28" s="121" t="n"/>
      <c r="R28" s="121" t="n"/>
      <c r="S28" s="121" t="n"/>
      <c r="T28" s="121" t="n"/>
      <c r="U28" s="121" t="n"/>
      <c r="V28" s="121" t="n"/>
      <c r="W28" s="121" t="n"/>
      <c r="X28" s="121" t="n"/>
      <c r="Y28" s="121" t="n"/>
      <c r="Z28" s="121" t="n"/>
    </row>
    <row r="29" ht="7.5" customHeight="1" s="477">
      <c r="A29" s="69" t="n"/>
      <c r="B29" s="122" t="n"/>
      <c r="C29" s="73" t="n"/>
      <c r="D29" s="69" t="n"/>
      <c r="E29" s="73" t="n"/>
      <c r="F29" s="69" t="n"/>
      <c r="G29" s="123" t="n"/>
      <c r="H29" s="462" t="n"/>
      <c r="I29" s="462" t="n"/>
      <c r="J29" s="462" t="n"/>
      <c r="K29" s="462" t="n"/>
      <c r="L29" s="462" t="n"/>
      <c r="M29" s="462" t="n"/>
      <c r="N29" s="462" t="n"/>
      <c r="O29" s="462" t="n"/>
      <c r="P29" s="462" t="n"/>
      <c r="Q29" s="462" t="n"/>
      <c r="R29" s="462" t="n"/>
      <c r="S29" s="462" t="n"/>
      <c r="T29" s="462" t="n"/>
      <c r="U29" s="462" t="n"/>
      <c r="V29" s="462" t="n"/>
      <c r="W29" s="462" t="n"/>
      <c r="X29" s="462" t="n"/>
      <c r="Y29" s="462" t="n"/>
      <c r="Z29" s="462" t="n"/>
    </row>
    <row r="30">
      <c r="A30" s="69" t="n"/>
      <c r="B30" s="124" t="inlineStr">
        <is>
          <t>『注意喚起』の動画をクリックし、「次へ」</t>
        </is>
      </c>
      <c r="C30" s="113" t="n"/>
      <c r="D30" s="114" t="n"/>
      <c r="E30" s="113" t="n"/>
      <c r="F30" s="69" t="n"/>
      <c r="G30" s="462" t="n"/>
      <c r="H30" s="462" t="n"/>
      <c r="I30" s="462" t="n"/>
      <c r="J30" s="462" t="n"/>
      <c r="K30" s="462" t="n"/>
      <c r="L30" s="462" t="n"/>
      <c r="M30" s="462" t="n"/>
      <c r="N30" s="462" t="n"/>
      <c r="O30" s="462" t="n"/>
      <c r="P30" s="462" t="n"/>
      <c r="Q30" s="462" t="n"/>
      <c r="R30" s="462" t="n"/>
      <c r="S30" s="462" t="n"/>
      <c r="T30" s="462" t="n"/>
      <c r="U30" s="462" t="n"/>
      <c r="V30" s="462" t="n"/>
      <c r="W30" s="462" t="n"/>
      <c r="X30" s="462" t="n"/>
      <c r="Y30" s="462" t="n"/>
      <c r="Z30" s="462" t="n"/>
    </row>
    <row r="31" outlineLevel="1" ht="6" customHeight="1" s="477">
      <c r="A31" s="69" t="n"/>
      <c r="B31" s="72" t="n"/>
      <c r="C31" s="73" t="n"/>
      <c r="D31" s="69" t="n"/>
      <c r="E31" s="73" t="n"/>
      <c r="F31" s="69" t="n"/>
      <c r="G31" s="462" t="n"/>
      <c r="H31" s="462" t="n"/>
      <c r="I31" s="462" t="n"/>
      <c r="J31" s="462" t="n"/>
      <c r="K31" s="462" t="n"/>
      <c r="L31" s="462" t="n"/>
      <c r="M31" s="462" t="n"/>
      <c r="N31" s="462" t="n"/>
      <c r="O31" s="462" t="n"/>
      <c r="P31" s="462" t="n"/>
      <c r="Q31" s="462" t="n"/>
      <c r="R31" s="462" t="n"/>
      <c r="S31" s="462" t="n"/>
      <c r="T31" s="462" t="n"/>
      <c r="U31" s="462" t="n"/>
      <c r="V31" s="462" t="n"/>
      <c r="W31" s="462" t="n"/>
      <c r="X31" s="462" t="n"/>
      <c r="Y31" s="462" t="n"/>
      <c r="Z31" s="462" t="n"/>
    </row>
    <row r="32">
      <c r="A32" s="125" t="n"/>
      <c r="B32" s="496" t="inlineStr">
        <is>
          <t>申請類型選択</t>
        </is>
      </c>
      <c r="F32" s="125" t="n"/>
      <c r="G32" s="169" t="n"/>
      <c r="H32" s="169" t="n"/>
      <c r="I32" s="169" t="n"/>
      <c r="J32" s="169" t="n"/>
      <c r="K32" s="169" t="n"/>
      <c r="L32" s="169" t="n"/>
      <c r="M32" s="169" t="n"/>
      <c r="N32" s="169" t="n"/>
      <c r="O32" s="169" t="n"/>
      <c r="P32" s="169" t="n"/>
      <c r="Q32" s="169" t="n"/>
      <c r="R32" s="169" t="n"/>
      <c r="S32" s="169" t="n"/>
      <c r="T32" s="169" t="n"/>
      <c r="U32" s="169" t="n"/>
      <c r="V32" s="169" t="n"/>
      <c r="W32" s="169" t="n"/>
      <c r="X32" s="169" t="n"/>
      <c r="Y32" s="169" t="n"/>
      <c r="Z32" s="169" t="n"/>
    </row>
    <row r="33" outlineLevel="1" ht="6" customHeight="1" s="477">
      <c r="A33" s="69" t="n"/>
      <c r="B33" s="72" t="n"/>
      <c r="C33" s="73" t="n"/>
      <c r="D33" s="69" t="n"/>
      <c r="E33" s="73" t="n"/>
      <c r="F33" s="69" t="n"/>
      <c r="G33" s="462" t="n"/>
      <c r="H33" s="462" t="n"/>
      <c r="I33" s="462" t="n"/>
      <c r="J33" s="462" t="n"/>
      <c r="K33" s="462" t="n"/>
      <c r="L33" s="462" t="n"/>
      <c r="M33" s="462" t="n"/>
      <c r="N33" s="462" t="n"/>
      <c r="O33" s="462" t="n"/>
      <c r="P33" s="462" t="n"/>
      <c r="Q33" s="462" t="n"/>
      <c r="R33" s="462" t="n"/>
      <c r="S33" s="462" t="n"/>
      <c r="T33" s="462" t="n"/>
      <c r="U33" s="462" t="n"/>
      <c r="V33" s="462" t="n"/>
      <c r="W33" s="462" t="n"/>
      <c r="X33" s="462" t="n"/>
      <c r="Y33" s="462" t="n"/>
      <c r="Z33" s="462" t="n"/>
    </row>
    <row r="34">
      <c r="A34" s="129" t="n"/>
      <c r="B34" s="130" t="inlineStr">
        <is>
          <t>項目</t>
        </is>
      </c>
      <c r="C34" s="131" t="inlineStr">
        <is>
          <t>記入欄</t>
        </is>
      </c>
      <c r="D34" s="133" t="inlineStr">
        <is>
          <t>作成・確認方法</t>
        </is>
      </c>
      <c r="E34" s="133" t="inlineStr">
        <is>
          <t>伝言事項</t>
        </is>
      </c>
      <c r="F34" s="134" t="n"/>
      <c r="G34" s="135" t="n"/>
      <c r="H34" s="135" t="n"/>
      <c r="I34" s="135" t="n"/>
      <c r="J34" s="135" t="n"/>
      <c r="K34" s="135" t="n"/>
      <c r="L34" s="135" t="n"/>
      <c r="M34" s="135" t="n"/>
      <c r="N34" s="135" t="n"/>
      <c r="O34" s="135" t="n"/>
      <c r="P34" s="135" t="n"/>
      <c r="Q34" s="135" t="n"/>
      <c r="R34" s="135" t="n"/>
      <c r="S34" s="135" t="n"/>
      <c r="T34" s="135" t="n"/>
      <c r="U34" s="135" t="n"/>
      <c r="V34" s="135" t="n"/>
      <c r="W34" s="135" t="n"/>
      <c r="X34" s="135" t="n"/>
      <c r="Y34" s="135" t="n"/>
      <c r="Z34" s="135" t="n"/>
    </row>
    <row r="35">
      <c r="A35" s="69" t="n"/>
      <c r="B35" s="265" t="inlineStr">
        <is>
          <t>申請類型選択</t>
        </is>
      </c>
      <c r="C35" s="137" t="inlineStr">
        <is>
          <t>□ インボイス対応類型（50万円以下）
■ インボイス対応類型（50万円超）
□ 電子取引類型</t>
        </is>
      </c>
      <c r="D35" s="460" t="n"/>
      <c r="E35" s="159" t="n"/>
      <c r="F35" s="140" t="n"/>
      <c r="G35" s="462" t="n"/>
      <c r="H35" s="462" t="n"/>
      <c r="I35" s="462" t="n"/>
      <c r="J35" s="462" t="n"/>
      <c r="K35" s="462" t="n"/>
      <c r="L35" s="462" t="n"/>
      <c r="M35" s="462" t="n"/>
      <c r="N35" s="462" t="n"/>
      <c r="O35" s="462" t="n"/>
      <c r="P35" s="462" t="n"/>
      <c r="Q35" s="462" t="n"/>
      <c r="R35" s="462" t="n"/>
      <c r="S35" s="462" t="n"/>
      <c r="T35" s="462" t="n"/>
      <c r="U35" s="462" t="n"/>
      <c r="V35" s="462" t="n"/>
      <c r="W35" s="462" t="n"/>
      <c r="X35" s="462" t="n"/>
      <c r="Y35" s="462" t="n"/>
      <c r="Z35" s="462" t="n"/>
    </row>
    <row r="36" outlineLevel="1" ht="9" customHeight="1" s="477">
      <c r="A36" s="69" t="n"/>
      <c r="B36" s="72" t="n"/>
      <c r="C36" s="73" t="n"/>
      <c r="D36" s="69" t="n"/>
      <c r="E36" s="73" t="n"/>
      <c r="F36" s="69" t="n"/>
    </row>
    <row r="37" outlineLevel="1" ht="25.5" customHeight="1" s="477">
      <c r="A37" s="69" t="n"/>
      <c r="B37" s="141" t="inlineStr">
        <is>
          <t>『  次へ  』</t>
        </is>
      </c>
      <c r="C37" s="142" t="inlineStr">
        <is>
          <t>をクリック</t>
        </is>
      </c>
      <c r="D37" s="73" t="n"/>
      <c r="E37" s="73" t="n"/>
      <c r="F37" s="69" t="n"/>
    </row>
    <row r="38">
      <c r="A38" s="69" t="n"/>
      <c r="B38" s="122" t="n"/>
      <c r="C38" s="73" t="n"/>
      <c r="D38" s="69" t="n"/>
      <c r="E38" s="73" t="n"/>
      <c r="F38" s="69" t="n"/>
      <c r="G38" s="123" t="n"/>
      <c r="H38" s="462" t="n"/>
      <c r="I38" s="462" t="n"/>
      <c r="J38" s="462" t="n"/>
      <c r="K38" s="462" t="n"/>
      <c r="L38" s="462" t="n"/>
      <c r="M38" s="462" t="n"/>
      <c r="N38" s="462" t="n"/>
      <c r="O38" s="462" t="n"/>
      <c r="P38" s="462" t="n"/>
      <c r="Q38" s="462" t="n"/>
      <c r="R38" s="462" t="n"/>
      <c r="S38" s="462" t="n"/>
      <c r="T38" s="462" t="n"/>
      <c r="U38" s="462" t="n"/>
      <c r="V38" s="462" t="n"/>
      <c r="W38" s="462" t="n"/>
      <c r="X38" s="462" t="n"/>
      <c r="Y38" s="462" t="n"/>
      <c r="Z38" s="462" t="n"/>
    </row>
    <row r="39">
      <c r="A39" s="69" t="n"/>
      <c r="B39" s="497" t="inlineStr">
        <is>
          <t>基本情報入力</t>
        </is>
      </c>
      <c r="F39" s="69" t="n"/>
      <c r="G39" s="462" t="n"/>
      <c r="H39" s="462" t="n"/>
      <c r="I39" s="462" t="n"/>
      <c r="J39" s="462" t="n"/>
      <c r="K39" s="462" t="n"/>
      <c r="L39" s="462" t="n"/>
      <c r="M39" s="462" t="n"/>
      <c r="N39" s="462" t="n"/>
      <c r="O39" s="462" t="n"/>
      <c r="P39" s="462" t="n"/>
      <c r="Q39" s="462" t="n"/>
      <c r="R39" s="462" t="n"/>
      <c r="S39" s="462" t="n"/>
      <c r="T39" s="462" t="n"/>
      <c r="U39" s="462" t="n"/>
      <c r="V39" s="462" t="n"/>
      <c r="W39" s="462" t="n"/>
      <c r="X39" s="462" t="n"/>
      <c r="Y39" s="462" t="n"/>
      <c r="Z39" s="462" t="n"/>
    </row>
    <row r="40" ht="6" customHeight="1" s="477">
      <c r="A40" s="69" t="n"/>
      <c r="B40" s="72" t="n"/>
      <c r="C40" s="73" t="n"/>
      <c r="D40" s="69" t="n"/>
      <c r="E40" s="73" t="n"/>
      <c r="F40" s="69" t="n"/>
      <c r="G40" s="462" t="n"/>
      <c r="H40" s="462" t="n"/>
      <c r="I40" s="462" t="n"/>
      <c r="J40" s="462" t="n"/>
      <c r="K40" s="462" t="n"/>
      <c r="L40" s="462" t="n"/>
      <c r="M40" s="462" t="n"/>
      <c r="N40" s="462" t="n"/>
      <c r="O40" s="462" t="n"/>
      <c r="P40" s="462" t="n"/>
      <c r="Q40" s="462" t="n"/>
      <c r="R40" s="462" t="n"/>
      <c r="S40" s="462" t="n"/>
      <c r="T40" s="462" t="n"/>
      <c r="U40" s="462" t="n"/>
      <c r="V40" s="462" t="n"/>
      <c r="W40" s="462" t="n"/>
      <c r="X40" s="462" t="n"/>
      <c r="Y40" s="462" t="n"/>
      <c r="Z40" s="462" t="n"/>
    </row>
    <row r="41">
      <c r="A41" s="69" t="n"/>
      <c r="B41" s="144" t="inlineStr">
        <is>
          <t>法人番号</t>
        </is>
      </c>
      <c r="C41" s="190" t="inlineStr">
        <is>
          <t>法人の場合、ログイン画面に表示</t>
        </is>
      </c>
      <c r="D41" s="190" t="n"/>
      <c r="E41" s="146" t="inlineStr">
        <is>
          <t>『情報取得』をクリックすると、事業者名、本社所在地の郵便番号・都道府県・市区町村が自動的に反映</t>
        </is>
      </c>
      <c r="F41" s="140" t="n"/>
      <c r="G41" s="462" t="n"/>
      <c r="H41" s="462" t="n"/>
      <c r="I41" s="462" t="n"/>
      <c r="J41" s="462" t="n"/>
      <c r="K41" s="462" t="n"/>
      <c r="L41" s="462" t="n"/>
      <c r="M41" s="462" t="n"/>
      <c r="N41" s="462" t="n"/>
      <c r="O41" s="462" t="n"/>
      <c r="P41" s="462" t="n"/>
      <c r="Q41" s="462" t="n"/>
      <c r="R41" s="462" t="n"/>
      <c r="S41" s="462" t="n"/>
      <c r="T41" s="462" t="n"/>
      <c r="U41" s="462" t="n"/>
      <c r="V41" s="462" t="n"/>
      <c r="W41" s="462" t="n"/>
      <c r="X41" s="462" t="n"/>
      <c r="Y41" s="462" t="n"/>
      <c r="Z41" s="462" t="n"/>
    </row>
    <row r="42">
      <c r="A42" s="69" t="n"/>
      <c r="B42" s="150" t="inlineStr">
        <is>
          <t>事業者名</t>
        </is>
      </c>
      <c r="C42" s="205">
        <f>'転記'!B8</f>
        <v/>
      </c>
      <c r="D42" s="190" t="inlineStr">
        <is>
          <t>『履歴事項全部証明書』にて確認
下線が入った内容は過去の情報の為不可</t>
        </is>
      </c>
      <c r="E42" s="159" t="n"/>
      <c r="F42" s="140" t="n"/>
      <c r="G42" s="462" t="n"/>
      <c r="H42" s="462" t="n"/>
      <c r="I42" s="462" t="n"/>
      <c r="J42" s="462" t="n"/>
      <c r="K42" s="462" t="n"/>
      <c r="L42" s="462" t="n"/>
      <c r="M42" s="462" t="n"/>
      <c r="N42" s="462" t="n"/>
      <c r="O42" s="462" t="n"/>
      <c r="P42" s="462" t="n"/>
      <c r="Q42" s="462" t="n"/>
      <c r="R42" s="462" t="n"/>
      <c r="S42" s="462" t="n"/>
      <c r="T42" s="462" t="n"/>
      <c r="U42" s="462" t="n"/>
      <c r="V42" s="462" t="n"/>
      <c r="W42" s="462" t="n"/>
      <c r="X42" s="462" t="n"/>
      <c r="Y42" s="462" t="n"/>
      <c r="Z42" s="462" t="n"/>
    </row>
    <row r="43">
      <c r="A43" s="69" t="n"/>
      <c r="B43" s="150" t="inlineStr">
        <is>
          <t>事業者名フリガナ</t>
        </is>
      </c>
      <c r="C43" s="205">
        <f>'転記'!B10</f>
        <v/>
      </c>
      <c r="D43" s="190" t="n"/>
      <c r="E43" s="159" t="n"/>
      <c r="F43" s="140" t="n"/>
      <c r="G43" s="462" t="n"/>
      <c r="H43" s="462" t="n"/>
      <c r="I43" s="462" t="n"/>
      <c r="J43" s="462" t="n"/>
      <c r="K43" s="462" t="n"/>
      <c r="L43" s="462" t="n"/>
      <c r="M43" s="462" t="n"/>
      <c r="N43" s="462" t="n"/>
      <c r="O43" s="462" t="n"/>
      <c r="P43" s="462" t="n"/>
      <c r="Q43" s="462" t="n"/>
      <c r="R43" s="462" t="n"/>
      <c r="S43" s="462" t="n"/>
      <c r="T43" s="462" t="n"/>
      <c r="U43" s="462" t="n"/>
      <c r="V43" s="462" t="n"/>
      <c r="W43" s="462" t="n"/>
      <c r="X43" s="462" t="n"/>
      <c r="Y43" s="462" t="n"/>
      <c r="Z43" s="462" t="n"/>
    </row>
    <row r="44">
      <c r="A44" s="69" t="n"/>
      <c r="B44" s="150" t="inlineStr">
        <is>
          <t>本店所在地　郵便番号</t>
        </is>
      </c>
      <c r="C44" s="151">
        <f>IFERROR(__xludf.DUMMYFUNCTION("IMPORTXML(""https://api.excelapi.org/post/zipcode?address=""&amp;ENCODEURL(C45),""."")"),"#REF!")</f>
        <v/>
      </c>
      <c r="D44" s="152" t="inlineStr">
        <is>
          <t>※住所から郵便番号自動検索（数字のみ、ハイフンなし）
法人番号の情報取得より入力されるが、確認のため入力</t>
        </is>
      </c>
      <c r="E44" s="159" t="n"/>
      <c r="F44" s="140" t="n"/>
      <c r="G44" s="462" t="n"/>
      <c r="H44" s="462" t="n"/>
      <c r="I44" s="462" t="n"/>
      <c r="J44" s="462" t="n"/>
      <c r="K44" s="462" t="n"/>
      <c r="L44" s="462" t="n"/>
      <c r="M44" s="462" t="n"/>
      <c r="N44" s="462" t="n"/>
      <c r="O44" s="462" t="n"/>
      <c r="P44" s="462" t="n"/>
      <c r="Q44" s="462" t="n"/>
      <c r="R44" s="462" t="n"/>
      <c r="S44" s="462" t="n"/>
      <c r="T44" s="462" t="n"/>
      <c r="U44" s="462" t="n"/>
      <c r="V44" s="462" t="n"/>
      <c r="W44" s="462" t="n"/>
      <c r="X44" s="462" t="n"/>
      <c r="Y44" s="462" t="n"/>
      <c r="Z44" s="462" t="n"/>
    </row>
    <row r="45">
      <c r="A45" s="69" t="n"/>
      <c r="B45" s="162" t="inlineStr">
        <is>
          <t>本店所在地　住所</t>
        </is>
      </c>
      <c r="C45" s="499" t="n"/>
      <c r="D45" s="190" t="inlineStr">
        <is>
          <t>『履歴事項全部証明書』より記入
下線が入った内容は過去の情報の為不可</t>
        </is>
      </c>
      <c r="E45" s="159" t="n"/>
      <c r="F45" s="140" t="n"/>
      <c r="G45" s="462" t="n"/>
      <c r="H45" s="462" t="n"/>
      <c r="I45" s="462" t="n"/>
      <c r="J45" s="462" t="n"/>
      <c r="K45" s="462" t="n"/>
      <c r="L45" s="462" t="n"/>
      <c r="M45" s="462" t="n"/>
      <c r="N45" s="462" t="n"/>
      <c r="O45" s="462" t="n"/>
      <c r="P45" s="462" t="n"/>
      <c r="Q45" s="462" t="n"/>
      <c r="R45" s="462" t="n"/>
      <c r="S45" s="462" t="n"/>
      <c r="T45" s="462" t="n"/>
      <c r="U45" s="462" t="n"/>
      <c r="V45" s="462" t="n"/>
      <c r="W45" s="462" t="n"/>
      <c r="X45" s="462" t="n"/>
      <c r="Y45" s="462" t="n"/>
      <c r="Z45" s="462" t="n"/>
    </row>
    <row r="46">
      <c r="A46" s="69" t="n"/>
      <c r="B46" s="155" t="inlineStr">
        <is>
          <t>業種コード　（数字４桁）</t>
        </is>
      </c>
      <c r="C46" s="156" t="n"/>
      <c r="D46" s="157" t="inlineStr">
        <is>
          <t>複数の事業を行っている場合
⇨「履歴事項全部証明書の目的の1番上の事業」もしくは「売上の高い事業」
→「申請ツール」により整合制のある事業を選択する（中小企業定義に関係するので売上の立っている事業以外を選択する場合は相談）
日本標準産業分類(令和５年[2023年]７月改定)
細分類コードを入力（数字４桁）</t>
        </is>
      </c>
      <c r="E46" s="159" t="n"/>
      <c r="F46" s="140" t="n"/>
      <c r="G46" s="462" t="n"/>
      <c r="H46" s="462" t="n"/>
      <c r="I46" s="462" t="n"/>
      <c r="J46" s="462" t="n"/>
      <c r="K46" s="462" t="n"/>
      <c r="L46" s="462" t="n"/>
      <c r="M46" s="462" t="n"/>
      <c r="N46" s="462" t="n"/>
      <c r="O46" s="462" t="n"/>
      <c r="P46" s="462" t="n"/>
      <c r="Q46" s="462" t="n"/>
      <c r="R46" s="462" t="n"/>
      <c r="S46" s="462" t="n"/>
      <c r="T46" s="462" t="n"/>
      <c r="U46" s="462" t="n"/>
      <c r="V46" s="462" t="n"/>
      <c r="W46" s="462" t="n"/>
      <c r="X46" s="462" t="n"/>
      <c r="Y46" s="462" t="n"/>
      <c r="Z46" s="462" t="n"/>
    </row>
    <row r="47">
      <c r="A47" s="69" t="n"/>
      <c r="B47" s="158" t="inlineStr">
        <is>
          <t>業種_大分類/中分類/小分類/細分類</t>
        </is>
      </c>
      <c r="C47" s="159" t="n"/>
      <c r="D47" s="160" t="inlineStr">
        <is>
          <t>※申請サポート時にお客様に確認するため、分類をメモしておく</t>
        </is>
      </c>
      <c r="E47" s="159" t="n"/>
      <c r="F47" s="140" t="n"/>
      <c r="G47" s="462" t="n"/>
      <c r="H47" s="462" t="n"/>
      <c r="I47" s="462" t="n"/>
      <c r="J47" s="462" t="n"/>
      <c r="K47" s="462" t="n"/>
      <c r="L47" s="462" t="n"/>
      <c r="M47" s="462" t="n"/>
      <c r="N47" s="462" t="n"/>
      <c r="O47" s="462" t="n"/>
      <c r="P47" s="462" t="n"/>
      <c r="Q47" s="462" t="n"/>
      <c r="R47" s="462" t="n"/>
      <c r="S47" s="462" t="n"/>
      <c r="T47" s="462" t="n"/>
      <c r="U47" s="462" t="n"/>
      <c r="V47" s="462" t="n"/>
      <c r="W47" s="462" t="n"/>
      <c r="X47" s="462" t="n"/>
      <c r="Y47" s="462" t="n"/>
      <c r="Z47" s="462" t="n"/>
    </row>
    <row r="48">
      <c r="A48" s="69" t="n"/>
      <c r="B48" s="162" t="inlineStr">
        <is>
          <t>設立年月日
※ダブルクリックでカレンダー表示</t>
        </is>
      </c>
      <c r="C48" s="161" t="n"/>
      <c r="D48" s="190" t="inlineStr">
        <is>
          <t>『履歴事項全部証明書』にて確認
※申請時はカレンダーで選択</t>
        </is>
      </c>
      <c r="E48" s="159" t="n"/>
      <c r="F48" s="140" t="n"/>
      <c r="G48" s="462" t="n"/>
      <c r="H48" s="462" t="n"/>
      <c r="I48" s="462" t="n"/>
      <c r="J48" s="462" t="n"/>
      <c r="K48" s="462" t="n"/>
      <c r="L48" s="462" t="n"/>
      <c r="M48" s="462" t="n"/>
      <c r="N48" s="462" t="n"/>
      <c r="O48" s="462" t="n"/>
      <c r="P48" s="462" t="n"/>
      <c r="Q48" s="462" t="n"/>
      <c r="R48" s="462" t="n"/>
      <c r="S48" s="462" t="n"/>
      <c r="T48" s="462" t="n"/>
      <c r="U48" s="462" t="n"/>
      <c r="V48" s="462" t="n"/>
      <c r="W48" s="462" t="n"/>
      <c r="X48" s="462" t="n"/>
      <c r="Y48" s="462" t="n"/>
      <c r="Z48" s="462" t="n"/>
    </row>
    <row r="49">
      <c r="A49" s="69" t="n"/>
      <c r="B49" s="162" t="inlineStr">
        <is>
          <t>資本金</t>
        </is>
      </c>
      <c r="C49" s="499" t="n"/>
      <c r="D49" s="190" t="inlineStr">
        <is>
          <t>『履歴事項全部証明書』より記入
半角数字のみ、カンマ無し</t>
        </is>
      </c>
      <c r="E49" s="159" t="n"/>
      <c r="F49" s="140" t="n"/>
      <c r="G49" s="462" t="n"/>
      <c r="H49" s="462" t="n"/>
      <c r="I49" s="462" t="n"/>
      <c r="J49" s="462" t="n"/>
      <c r="K49" s="462" t="n"/>
      <c r="L49" s="462" t="n"/>
      <c r="M49" s="462" t="n"/>
      <c r="N49" s="462" t="n"/>
      <c r="O49" s="462" t="n"/>
      <c r="P49" s="462" t="n"/>
      <c r="Q49" s="462" t="n"/>
      <c r="R49" s="462" t="n"/>
      <c r="S49" s="462" t="n"/>
      <c r="T49" s="462" t="n"/>
      <c r="U49" s="462" t="n"/>
      <c r="V49" s="462" t="n"/>
      <c r="W49" s="462" t="n"/>
      <c r="X49" s="462" t="n"/>
      <c r="Y49" s="462" t="n"/>
      <c r="Z49" s="462" t="n"/>
    </row>
    <row r="50">
      <c r="A50" s="69" t="n"/>
      <c r="B50" s="230" t="inlineStr">
        <is>
          <t>店舗事業所数</t>
        </is>
      </c>
      <c r="C50" s="205">
        <f>'転記'!B12</f>
        <v/>
      </c>
      <c r="D50" s="462" t="n"/>
      <c r="E50" s="159" t="n"/>
      <c r="F50" s="140" t="n"/>
      <c r="G50" s="462" t="n"/>
      <c r="H50" s="462" t="n"/>
      <c r="I50" s="462" t="n"/>
      <c r="J50" s="462" t="n"/>
      <c r="K50" s="462" t="n"/>
      <c r="L50" s="462" t="n"/>
      <c r="M50" s="462" t="n"/>
      <c r="N50" s="462" t="n"/>
      <c r="O50" s="462" t="n"/>
      <c r="P50" s="462" t="n"/>
      <c r="Q50" s="462" t="n"/>
      <c r="R50" s="462" t="n"/>
      <c r="S50" s="462" t="n"/>
      <c r="T50" s="462" t="n"/>
      <c r="U50" s="462" t="n"/>
      <c r="V50" s="462" t="n"/>
      <c r="W50" s="462" t="n"/>
      <c r="X50" s="462" t="n"/>
      <c r="Y50" s="462" t="n"/>
      <c r="Z50" s="462" t="n"/>
    </row>
    <row r="51">
      <c r="A51" s="69" t="n"/>
      <c r="B51" s="230" t="inlineStr">
        <is>
          <t>事業者URL</t>
        </is>
      </c>
      <c r="C51" s="165">
        <f>'転記'!B14</f>
        <v/>
      </c>
      <c r="D51" s="190" t="inlineStr">
        <is>
          <t>公式サイトのURL</t>
        </is>
      </c>
      <c r="E51" s="159" t="n"/>
      <c r="F51" s="140" t="n"/>
      <c r="G51" s="462" t="n"/>
      <c r="H51" s="462" t="n"/>
      <c r="I51" s="462" t="n"/>
      <c r="J51" s="462" t="n"/>
      <c r="K51" s="462" t="n"/>
      <c r="L51" s="462" t="n"/>
      <c r="M51" s="462" t="n"/>
      <c r="N51" s="462" t="n"/>
      <c r="O51" s="462" t="n"/>
      <c r="P51" s="462" t="n"/>
      <c r="Q51" s="462" t="n"/>
      <c r="R51" s="462" t="n"/>
      <c r="S51" s="462" t="n"/>
      <c r="T51" s="462" t="n"/>
      <c r="U51" s="462" t="n"/>
      <c r="V51" s="462" t="n"/>
      <c r="W51" s="462" t="n"/>
      <c r="X51" s="462" t="n"/>
      <c r="Y51" s="462" t="n"/>
      <c r="Z51" s="462" t="n"/>
    </row>
    <row r="52">
      <c r="A52" s="125" t="n"/>
      <c r="B52" s="167" t="inlineStr">
        <is>
          <t>主な事業内容</t>
        </is>
      </c>
      <c r="C52" s="168">
        <f>'転記'!B16</f>
        <v/>
      </c>
      <c r="D52" s="169" t="n"/>
      <c r="E52" s="170" t="n"/>
      <c r="F52" s="171" t="n"/>
      <c r="G52" s="169" t="n"/>
      <c r="H52" s="169" t="n"/>
      <c r="I52" s="169" t="n"/>
      <c r="J52" s="169" t="n"/>
      <c r="K52" s="169" t="n"/>
      <c r="L52" s="169" t="n"/>
      <c r="M52" s="169" t="n"/>
      <c r="N52" s="169" t="n"/>
      <c r="O52" s="169" t="n"/>
      <c r="P52" s="169" t="n"/>
      <c r="Q52" s="169" t="n"/>
      <c r="R52" s="169" t="n"/>
      <c r="S52" s="169" t="n"/>
      <c r="T52" s="169" t="n"/>
      <c r="U52" s="169" t="n"/>
      <c r="V52" s="169" t="n"/>
      <c r="W52" s="169" t="n"/>
      <c r="X52" s="169" t="n"/>
      <c r="Y52" s="169" t="n"/>
      <c r="Z52" s="169" t="n"/>
    </row>
    <row r="53" outlineLevel="1" s="477">
      <c r="A53" s="69" t="n"/>
      <c r="B53" s="172" t="inlineStr">
        <is>
          <t>他社に負けない貴社の「強み」は何ですか？</t>
        </is>
      </c>
      <c r="C53" s="168">
        <f>'転記'!B17</f>
        <v/>
      </c>
      <c r="D53" s="173" t="n"/>
      <c r="E53" s="191" t="n"/>
      <c r="F53" s="140" t="n"/>
      <c r="G53" s="462" t="n"/>
      <c r="H53" s="462" t="n"/>
      <c r="I53" s="462" t="n"/>
      <c r="J53" s="462" t="n"/>
      <c r="K53" s="462" t="n"/>
      <c r="L53" s="462" t="n"/>
      <c r="M53" s="462" t="n"/>
      <c r="N53" s="462" t="n"/>
      <c r="O53" s="462" t="n"/>
      <c r="P53" s="462" t="n"/>
      <c r="Q53" s="462" t="n"/>
      <c r="R53" s="462" t="n"/>
      <c r="S53" s="462" t="n"/>
      <c r="T53" s="462" t="n"/>
      <c r="U53" s="462" t="n"/>
      <c r="V53" s="462" t="n"/>
      <c r="W53" s="462" t="n"/>
      <c r="X53" s="462" t="n"/>
      <c r="Y53" s="462" t="n"/>
      <c r="Z53" s="462" t="n"/>
    </row>
    <row r="54" outlineLevel="1" s="477">
      <c r="A54" s="69" t="n"/>
      <c r="B54" s="172" t="inlineStr">
        <is>
          <t>現在「時間がかかっている業務」は何ですか？</t>
        </is>
      </c>
      <c r="C54" s="168">
        <f>'転記'!B18</f>
        <v/>
      </c>
      <c r="D54" s="173" t="n"/>
      <c r="E54" s="191" t="n"/>
      <c r="F54" s="140" t="n"/>
      <c r="G54" s="462" t="n"/>
      <c r="H54" s="462" t="n"/>
      <c r="I54" s="462" t="n"/>
      <c r="J54" s="462" t="n"/>
      <c r="K54" s="462" t="n"/>
      <c r="L54" s="462" t="n"/>
      <c r="M54" s="462" t="n"/>
      <c r="N54" s="462" t="n"/>
      <c r="O54" s="462" t="n"/>
      <c r="P54" s="462" t="n"/>
      <c r="Q54" s="462" t="n"/>
      <c r="R54" s="462" t="n"/>
      <c r="S54" s="462" t="n"/>
      <c r="T54" s="462" t="n"/>
      <c r="U54" s="462" t="n"/>
      <c r="V54" s="462" t="n"/>
      <c r="W54" s="462" t="n"/>
      <c r="X54" s="462" t="n"/>
      <c r="Y54" s="462" t="n"/>
      <c r="Z54" s="462" t="n"/>
    </row>
    <row r="55" outlineLevel="1" s="477">
      <c r="A55" s="69" t="n"/>
      <c r="B55" s="172" t="inlineStr">
        <is>
          <t>その業務に「月間何時間」ほど費やしていますか？</t>
        </is>
      </c>
      <c r="C55" s="168">
        <f>'転記'!B19</f>
        <v/>
      </c>
      <c r="D55" s="173" t="n"/>
      <c r="E55" s="191" t="n"/>
      <c r="F55" s="140" t="n"/>
      <c r="G55" s="462" t="n"/>
      <c r="H55" s="462" t="n"/>
      <c r="I55" s="462" t="n"/>
      <c r="J55" s="462" t="n"/>
      <c r="K55" s="462" t="n"/>
      <c r="L55" s="462" t="n"/>
      <c r="M55" s="462" t="n"/>
      <c r="N55" s="462" t="n"/>
      <c r="O55" s="462" t="n"/>
      <c r="P55" s="462" t="n"/>
      <c r="Q55" s="462" t="n"/>
      <c r="R55" s="462" t="n"/>
      <c r="S55" s="462" t="n"/>
      <c r="T55" s="462" t="n"/>
      <c r="U55" s="462" t="n"/>
      <c r="V55" s="462" t="n"/>
      <c r="W55" s="462" t="n"/>
      <c r="X55" s="462" t="n"/>
      <c r="Y55" s="462" t="n"/>
      <c r="Z55" s="462" t="n"/>
    </row>
    <row r="56" outlineLevel="1" s="477">
      <c r="A56" s="69" t="n"/>
      <c r="B56" s="172" t="inlineStr">
        <is>
          <t>導入するツールのどの機能を使って、どう楽にしたいですか？</t>
        </is>
      </c>
      <c r="C56" s="168">
        <f>'転記'!B20</f>
        <v/>
      </c>
      <c r="D56" s="173" t="n"/>
      <c r="E56" s="191" t="n"/>
      <c r="F56" s="140" t="n"/>
      <c r="G56" s="462" t="n"/>
      <c r="H56" s="462" t="n"/>
      <c r="I56" s="462" t="n"/>
      <c r="J56" s="462" t="n"/>
      <c r="K56" s="462" t="n"/>
      <c r="L56" s="462" t="n"/>
      <c r="M56" s="462" t="n"/>
      <c r="N56" s="462" t="n"/>
      <c r="O56" s="462" t="n"/>
      <c r="P56" s="462" t="n"/>
      <c r="Q56" s="462" t="n"/>
      <c r="R56" s="462" t="n"/>
      <c r="S56" s="462" t="n"/>
      <c r="T56" s="462" t="n"/>
      <c r="U56" s="462" t="n"/>
      <c r="V56" s="462" t="n"/>
      <c r="W56" s="462" t="n"/>
      <c r="X56" s="462" t="n"/>
      <c r="Y56" s="462" t="n"/>
      <c r="Z56" s="462" t="n"/>
    </row>
    <row r="57" outlineLevel="1" s="477">
      <c r="A57" s="69" t="n"/>
      <c r="B57" s="172" t="inlineStr">
        <is>
          <t>導入後、事務作業時間は「何％（あるいは何時間）」削減できそうですか？</t>
        </is>
      </c>
      <c r="C57" s="168">
        <f>'転記'!B21</f>
        <v/>
      </c>
      <c r="D57" s="173" t="n"/>
      <c r="E57" s="191" t="n"/>
      <c r="F57" s="140" t="n"/>
      <c r="G57" s="462" t="n"/>
      <c r="H57" s="462" t="n"/>
      <c r="I57" s="462" t="n"/>
      <c r="J57" s="462" t="n"/>
      <c r="K57" s="462" t="n"/>
      <c r="L57" s="462" t="n"/>
      <c r="M57" s="462" t="n"/>
      <c r="N57" s="462" t="n"/>
      <c r="O57" s="462" t="n"/>
      <c r="P57" s="462" t="n"/>
      <c r="Q57" s="462" t="n"/>
      <c r="R57" s="462" t="n"/>
      <c r="S57" s="462" t="n"/>
      <c r="T57" s="462" t="n"/>
      <c r="U57" s="462" t="n"/>
      <c r="V57" s="462" t="n"/>
      <c r="W57" s="462" t="n"/>
      <c r="X57" s="462" t="n"/>
      <c r="Y57" s="462" t="n"/>
      <c r="Z57" s="462" t="n"/>
    </row>
    <row r="58" outlineLevel="1" s="477">
      <c r="A58" s="69" t="n"/>
      <c r="B58" s="172" t="inlineStr">
        <is>
          <t>作業が楽になり「浮いた時間」で、どのような価値を生む業務を行いますか？</t>
        </is>
      </c>
      <c r="C58" s="168">
        <f>'転記'!B22</f>
        <v/>
      </c>
      <c r="D58" s="173" t="n"/>
      <c r="E58" s="191" t="n"/>
      <c r="F58" s="140" t="n"/>
      <c r="G58" s="462" t="n"/>
      <c r="H58" s="462" t="n"/>
      <c r="I58" s="462" t="n"/>
      <c r="J58" s="462" t="n"/>
      <c r="K58" s="462" t="n"/>
      <c r="L58" s="462" t="n"/>
      <c r="M58" s="462" t="n"/>
      <c r="N58" s="462" t="n"/>
      <c r="O58" s="462" t="n"/>
      <c r="P58" s="462" t="n"/>
      <c r="Q58" s="462" t="n"/>
      <c r="R58" s="462" t="n"/>
      <c r="S58" s="462" t="n"/>
      <c r="T58" s="462" t="n"/>
      <c r="U58" s="462" t="n"/>
      <c r="V58" s="462" t="n"/>
      <c r="W58" s="462" t="n"/>
      <c r="X58" s="462" t="n"/>
      <c r="Y58" s="462" t="n"/>
      <c r="Z58" s="462" t="n"/>
    </row>
    <row r="59" outlineLevel="1" s="477">
      <c r="A59" s="69" t="n"/>
      <c r="B59" s="172" t="inlineStr">
        <is>
          <t>3年後の「売上目標」を教えてください</t>
        </is>
      </c>
      <c r="C59" s="168">
        <f>'転記'!B23</f>
        <v/>
      </c>
      <c r="D59" s="173" t="n"/>
      <c r="E59" s="191" t="n"/>
      <c r="F59" s="140" t="n"/>
      <c r="G59" s="462" t="n"/>
      <c r="H59" s="462" t="n"/>
      <c r="I59" s="462" t="n"/>
      <c r="J59" s="462" t="n"/>
      <c r="K59" s="462" t="n"/>
      <c r="L59" s="462" t="n"/>
      <c r="M59" s="462" t="n"/>
      <c r="N59" s="462" t="n"/>
      <c r="O59" s="462" t="n"/>
      <c r="P59" s="462" t="n"/>
      <c r="Q59" s="462" t="n"/>
      <c r="R59" s="462" t="n"/>
      <c r="S59" s="462" t="n"/>
      <c r="T59" s="462" t="n"/>
      <c r="U59" s="462" t="n"/>
      <c r="V59" s="462" t="n"/>
      <c r="W59" s="462" t="n"/>
      <c r="X59" s="462" t="n"/>
      <c r="Y59" s="462" t="n"/>
      <c r="Z59" s="462" t="n"/>
    </row>
    <row r="60" outlineLevel="1" s="477">
      <c r="A60" s="69" t="n"/>
      <c r="B60" s="172" t="inlineStr">
        <is>
          <t>どのような属性の取引先が多いですか？</t>
        </is>
      </c>
      <c r="C60" s="168">
        <f>'転記'!B24</f>
        <v/>
      </c>
      <c r="D60" s="173" t="n"/>
      <c r="E60" s="191" t="n"/>
      <c r="F60" s="140" t="n"/>
      <c r="G60" s="462" t="n"/>
      <c r="H60" s="462" t="n"/>
      <c r="I60" s="462" t="n"/>
      <c r="J60" s="462" t="n"/>
      <c r="K60" s="462" t="n"/>
      <c r="L60" s="462" t="n"/>
      <c r="M60" s="462" t="n"/>
      <c r="N60" s="462" t="n"/>
      <c r="O60" s="462" t="n"/>
      <c r="P60" s="462" t="n"/>
      <c r="Q60" s="462" t="n"/>
      <c r="R60" s="462" t="n"/>
      <c r="S60" s="462" t="n"/>
      <c r="T60" s="462" t="n"/>
      <c r="U60" s="462" t="n"/>
      <c r="V60" s="462" t="n"/>
      <c r="W60" s="462" t="n"/>
      <c r="X60" s="462" t="n"/>
      <c r="Y60" s="462" t="n"/>
      <c r="Z60" s="462" t="n"/>
    </row>
    <row r="61" outlineLevel="1" s="477">
      <c r="A61" s="69" t="n"/>
      <c r="B61" s="172" t="inlineStr">
        <is>
          <t>ツール名</t>
        </is>
      </c>
      <c r="C61" s="175" t="n"/>
      <c r="D61" s="173" t="n"/>
      <c r="E61" s="191" t="n"/>
      <c r="F61" s="140" t="n"/>
      <c r="G61" s="462" t="n"/>
      <c r="H61" s="462" t="n"/>
      <c r="I61" s="462" t="n"/>
      <c r="J61" s="462" t="n"/>
      <c r="K61" s="462" t="n"/>
      <c r="L61" s="462" t="n"/>
      <c r="M61" s="462" t="n"/>
      <c r="N61" s="462" t="n"/>
      <c r="O61" s="462" t="n"/>
      <c r="P61" s="462" t="n"/>
      <c r="Q61" s="462" t="n"/>
      <c r="R61" s="462" t="n"/>
      <c r="S61" s="462" t="n"/>
      <c r="T61" s="462" t="n"/>
      <c r="U61" s="462" t="n"/>
      <c r="V61" s="462" t="n"/>
      <c r="W61" s="462" t="n"/>
      <c r="X61" s="462" t="n"/>
      <c r="Y61" s="462" t="n"/>
      <c r="Z61" s="462" t="n"/>
    </row>
    <row r="62" outlineLevel="1" s="477">
      <c r="A62" s="69" t="n"/>
      <c r="B62" s="176" t="inlineStr">
        <is>
          <t>プロンプト</t>
        </is>
      </c>
      <c r="C62" s="177">
        <f>"以下のヒアリング情報を基に、デジタル化・AI導入補助金（インボイス枠）の申請に必要な「事業内容・実施計画」の文章を作成してください。"&amp;CHAR(10)&amp;
"【ヒアリング情報】"&amp;CHAR(10)&amp;
"事業内容： "&amp;C52&amp;CHAR(10)&amp;
"自社の強み： "&amp;C53&amp;CHAR(10)&amp;
"現在の課題（弱み）： "&amp;C54&amp;"（"&amp;C55&amp;"費やしている）"&amp;CHAR(10)&amp;
"導入ツールと改善点： "&amp;C61&amp;"　"&amp;C56&amp;CHAR(10)&amp;
"空いた時間で行う業務： "&amp;C58&amp;CHAR(10)&amp;
"具体的な数値目標："&amp;CHAR(10)&amp;
"業務削減率： "&amp;C57&amp;CHAR(10)&amp;
"3年後の売上目標： "&amp;C59&amp;CHAR(10)&amp;
"賃上げ計画： 年率3.0%以上の賃上げを実施"&amp;CHAR(10)&amp;
"主な取引先： "&amp;C60&amp;CHAR(10)&amp;CHAR(10)&amp;
"【構成指示：以下の流れで記述してください】"&amp;CHAR(10)&amp;
"事業概要と強み： 自社の立ち位置と競争優位性を簡潔に。"&amp;CHAR(10)&amp;
"直面している課題とIT導入の必要性： インボイス制度への対応遅れや、具体的な業務のボトルネックを「弱み」として提示。"&amp;CHAR(10)&amp;
"IT導入による具体的改善： ツールによってどの業務がどう変わるか。"&amp;CHAR(10)&amp;
"投資効果と将来展望： 削減された時間（％）をどう活用し、3年後の売上拡大と賃上げ3.0%をどう達成するか、因果関係を明確にする。"&amp;CHAR(10)&amp;CHAR(10)&amp;
"【トーン＆マナー】"&amp;CHAR(10)&amp;
"専門用語を避けつつ、論理的で意欲的なビジネス文章。"&amp;CHAR(10)&amp;
"補助金の趣旨（生産性向上）に合致した表現を使用すること。"&amp;CHAR(10)&amp;CHAR(10)&amp;
"【出力条件】"&amp;CHAR(10)&amp;
"・Pythonツールを使用して正確な文字数をカウントし、必ず「250文字以上、255文字以内」の範囲内に収めてください。"&amp;CHAR(10)&amp;
"・回答には「作成した文章のみ」を出力してください。"&amp;CHAR(10)&amp;
"・文字数の数値や「〇〇文字です」といったカウント結果、および挨拶などは一切記載しないでください。"&amp;CHAR(10)&amp;
"・250文字に満たない、または255文字を超える場合は、範囲内に収まるまで内部でセルフチェックと調整を繰り返してください。"</f>
        <v/>
      </c>
      <c r="D62" s="173" t="n"/>
      <c r="E62" s="178" t="n"/>
      <c r="F62" s="140" t="n"/>
      <c r="G62" s="462" t="n"/>
      <c r="H62" s="462" t="n"/>
      <c r="I62" s="462" t="n"/>
      <c r="J62" s="462" t="n"/>
      <c r="K62" s="462" t="n"/>
      <c r="L62" s="462" t="n"/>
      <c r="M62" s="462" t="n"/>
      <c r="N62" s="462" t="n"/>
      <c r="O62" s="462" t="n"/>
      <c r="P62" s="462" t="n"/>
      <c r="Q62" s="462" t="n"/>
      <c r="R62" s="462" t="n"/>
      <c r="S62" s="462" t="n"/>
      <c r="T62" s="462" t="n"/>
      <c r="U62" s="462" t="n"/>
      <c r="V62" s="462" t="n"/>
      <c r="W62" s="462" t="n"/>
      <c r="X62" s="462" t="n"/>
      <c r="Y62" s="462" t="n"/>
      <c r="Z62" s="462" t="n"/>
    </row>
    <row r="63">
      <c r="A63" s="69" t="n"/>
      <c r="B63" s="176" t="inlineStr">
        <is>
          <t>事業内容（255文字以内）
自社(自己)の事業概要を説明し、今回の補助事業で導入するITツールを
どのように活用するのかを具体的に記載してください。</t>
        </is>
      </c>
      <c r="C63" s="177">
        <f>IFERROR(__xludf.DUMMYFUNCTION("AI(C62)"),"地域密着型のリフォーム・内装工事を主軸とする当社は、社長一貫の現場管理と迅速な対応力が強みです。しかし、インボイス制度対応を含む月40時間の事務作業がボトルネックとなり、見積遅延による失注リスクを招いています。この課題を解決するため、ITツールを導入し、現場移動中もスマホでインボイス対応の請求書作成を可能にします。これにより事務作業時間を75%（月40時間から10時間）削減します。浮いた時間を新規パートナー開拓や省エネ建材の提案営業に集中投下することで、3年後の売上目標9,500万円（118%）を達成し、"&amp;"生産性向上と年率3.0%以上の賃上げを実現します。")</f>
        <v/>
      </c>
      <c r="D63" s="179" t="inlineStr">
        <is>
          <t>※AI Worksにて作成
参考：過去事業内容</t>
        </is>
      </c>
      <c r="E63" s="178">
        <f>LEN(C63)</f>
        <v/>
      </c>
      <c r="F63" s="140" t="n"/>
      <c r="G63" s="462" t="n"/>
      <c r="H63" s="462" t="n"/>
      <c r="I63" s="462" t="n"/>
      <c r="J63" s="462" t="n"/>
      <c r="K63" s="462" t="n"/>
      <c r="L63" s="462" t="n"/>
      <c r="M63" s="462" t="n"/>
      <c r="N63" s="462" t="n"/>
      <c r="O63" s="462" t="n"/>
      <c r="P63" s="462" t="n"/>
      <c r="Q63" s="462" t="n"/>
      <c r="R63" s="462" t="n"/>
      <c r="S63" s="462" t="n"/>
      <c r="T63" s="462" t="n"/>
      <c r="U63" s="462" t="n"/>
      <c r="V63" s="462" t="n"/>
      <c r="W63" s="462" t="n"/>
      <c r="X63" s="462" t="n"/>
      <c r="Y63" s="462" t="n"/>
      <c r="Z63" s="462" t="n"/>
    </row>
    <row r="64">
      <c r="A64" s="69" t="n"/>
      <c r="B64" s="162" t="inlineStr">
        <is>
          <t>決算月</t>
        </is>
      </c>
      <c r="C64" s="207" t="n"/>
      <c r="D64" s="181" t="n"/>
      <c r="E64" s="159" t="n"/>
      <c r="F64" s="140" t="n"/>
      <c r="G64" s="462" t="n"/>
      <c r="H64" s="462" t="n"/>
      <c r="I64" s="462" t="n"/>
      <c r="J64" s="462" t="n"/>
      <c r="K64" s="462" t="n"/>
      <c r="L64" s="462" t="n"/>
      <c r="M64" s="462" t="n"/>
      <c r="N64" s="462" t="n"/>
      <c r="O64" s="462" t="n"/>
      <c r="P64" s="462" t="n"/>
      <c r="Q64" s="462" t="n"/>
      <c r="R64" s="462" t="n"/>
      <c r="S64" s="462" t="n"/>
      <c r="T64" s="462" t="n"/>
      <c r="U64" s="462" t="n"/>
      <c r="V64" s="462" t="n"/>
      <c r="W64" s="462" t="n"/>
      <c r="X64" s="462" t="n"/>
      <c r="Y64" s="462" t="n"/>
      <c r="Z64" s="462" t="n"/>
    </row>
    <row r="65">
      <c r="A65" s="462" t="n"/>
      <c r="B65" s="182" t="inlineStr">
        <is>
          <t>担当部署</t>
        </is>
      </c>
      <c r="C65" s="183" t="n"/>
      <c r="D65" s="184" t="inlineStr">
        <is>
          <t>空欄可</t>
        </is>
      </c>
      <c r="E65" s="183" t="n"/>
      <c r="F65" s="462" t="n"/>
      <c r="G65" s="462" t="n"/>
      <c r="H65" s="462" t="n"/>
      <c r="I65" s="462" t="n"/>
      <c r="J65" s="462" t="n"/>
      <c r="K65" s="462" t="n"/>
      <c r="L65" s="462" t="n"/>
      <c r="M65" s="462" t="n"/>
      <c r="N65" s="462" t="n"/>
      <c r="O65" s="462" t="n"/>
      <c r="P65" s="462" t="n"/>
      <c r="Q65" s="462" t="n"/>
      <c r="R65" s="462" t="n"/>
      <c r="S65" s="462" t="n"/>
      <c r="T65" s="462" t="n"/>
      <c r="U65" s="462" t="n"/>
      <c r="V65" s="462" t="n"/>
      <c r="W65" s="462" t="n"/>
      <c r="X65" s="462" t="n"/>
      <c r="Y65" s="462" t="n"/>
      <c r="Z65" s="462" t="n"/>
    </row>
    <row r="66">
      <c r="A66" s="69" t="n"/>
      <c r="B66" s="230" t="inlineStr">
        <is>
          <t>担当者氏名</t>
        </is>
      </c>
      <c r="C66" s="205">
        <f>'転記'!B28</f>
        <v/>
      </c>
      <c r="D66" s="185" t="n"/>
      <c r="E66" s="159" t="n"/>
      <c r="F66" s="140" t="n"/>
      <c r="G66" s="462" t="n"/>
      <c r="H66" s="462" t="n"/>
      <c r="I66" s="462" t="n"/>
      <c r="J66" s="462" t="n"/>
      <c r="K66" s="462" t="n"/>
      <c r="L66" s="462" t="n"/>
      <c r="M66" s="462" t="n"/>
      <c r="N66" s="462" t="n"/>
      <c r="O66" s="462" t="n"/>
      <c r="P66" s="462" t="n"/>
      <c r="Q66" s="462" t="n"/>
      <c r="R66" s="462" t="n"/>
      <c r="S66" s="462" t="n"/>
      <c r="T66" s="462" t="n"/>
      <c r="U66" s="462" t="n"/>
      <c r="V66" s="462" t="n"/>
      <c r="W66" s="462" t="n"/>
      <c r="X66" s="462" t="n"/>
      <c r="Y66" s="462" t="n"/>
      <c r="Z66" s="462" t="n"/>
    </row>
    <row r="67">
      <c r="A67" s="69" t="n"/>
      <c r="B67" s="230" t="inlineStr">
        <is>
          <t>担当者氏名フリガナ</t>
        </is>
      </c>
      <c r="C67" s="205">
        <f>'転記'!B30</f>
        <v/>
      </c>
      <c r="D67" s="226" t="n"/>
      <c r="E67" s="159" t="n"/>
      <c r="F67" s="140" t="n"/>
      <c r="G67" s="462" t="n"/>
      <c r="H67" s="462" t="n"/>
      <c r="I67" s="462" t="n"/>
      <c r="J67" s="462" t="n"/>
      <c r="K67" s="462" t="n"/>
      <c r="L67" s="462" t="n"/>
      <c r="M67" s="462" t="n"/>
      <c r="N67" s="462" t="n"/>
      <c r="O67" s="462" t="n"/>
      <c r="P67" s="462" t="n"/>
      <c r="Q67" s="462" t="n"/>
      <c r="R67" s="462" t="n"/>
      <c r="S67" s="462" t="n"/>
      <c r="T67" s="462" t="n"/>
      <c r="U67" s="462" t="n"/>
      <c r="V67" s="462" t="n"/>
      <c r="W67" s="462" t="n"/>
      <c r="X67" s="462" t="n"/>
      <c r="Y67" s="462" t="n"/>
      <c r="Z67" s="462" t="n"/>
    </row>
    <row r="68">
      <c r="A68" s="125" t="n"/>
      <c r="B68" s="187" t="inlineStr">
        <is>
          <t>担当者メールアドレス</t>
        </is>
      </c>
      <c r="C68" s="188">
        <f>'転記'!B32</f>
        <v/>
      </c>
      <c r="D68" s="189" t="inlineStr">
        <is>
          <t>招待メール送付先
※連絡を取り合っているアドレスでない可能性あり
※GビズIDに登録しているアドレス以外でOK
※招待後は交付結果が出るまで変更できない（申請中に変更したい場合は、再招待が必要）</t>
        </is>
      </c>
      <c r="E68" s="188" t="n"/>
      <c r="F68" s="171" t="n"/>
      <c r="G68" s="169" t="n"/>
      <c r="H68" s="169" t="n"/>
      <c r="I68" s="169" t="n"/>
      <c r="J68" s="169" t="n"/>
      <c r="K68" s="169" t="n"/>
      <c r="L68" s="169" t="n"/>
      <c r="M68" s="169" t="n"/>
      <c r="N68" s="169" t="n"/>
      <c r="O68" s="169" t="n"/>
      <c r="P68" s="169" t="n"/>
      <c r="Q68" s="169" t="n"/>
      <c r="R68" s="169" t="n"/>
      <c r="S68" s="169" t="n"/>
      <c r="T68" s="169" t="n"/>
      <c r="U68" s="169" t="n"/>
      <c r="V68" s="169" t="n"/>
      <c r="W68" s="169" t="n"/>
      <c r="X68" s="169" t="n"/>
      <c r="Y68" s="169" t="n"/>
      <c r="Z68" s="169" t="n"/>
    </row>
    <row r="69">
      <c r="A69" s="69" t="n"/>
      <c r="B69" s="230" t="inlineStr">
        <is>
          <t>担当者電話番号</t>
        </is>
      </c>
      <c r="C69" s="165">
        <f>'転記'!B34</f>
        <v/>
      </c>
      <c r="D69" s="190" t="inlineStr">
        <is>
          <t>ハイフンなし</t>
        </is>
      </c>
      <c r="E69" s="159" t="n"/>
      <c r="F69" s="140" t="n"/>
      <c r="G69" s="462" t="n"/>
      <c r="H69" s="462" t="n"/>
      <c r="I69" s="462" t="n"/>
      <c r="J69" s="462" t="n"/>
      <c r="K69" s="462" t="n"/>
      <c r="L69" s="462" t="n"/>
      <c r="M69" s="462" t="n"/>
      <c r="N69" s="462" t="n"/>
      <c r="O69" s="462" t="n"/>
      <c r="P69" s="462" t="n"/>
      <c r="Q69" s="462" t="n"/>
      <c r="R69" s="462" t="n"/>
      <c r="S69" s="462" t="n"/>
      <c r="T69" s="462" t="n"/>
      <c r="U69" s="462" t="n"/>
      <c r="V69" s="462" t="n"/>
      <c r="W69" s="462" t="n"/>
      <c r="X69" s="462" t="n"/>
      <c r="Y69" s="462" t="n"/>
      <c r="Z69" s="462" t="n"/>
    </row>
    <row r="70">
      <c r="A70" s="69" t="n"/>
      <c r="B70" s="230" t="inlineStr">
        <is>
          <t>担当者携帯番号</t>
        </is>
      </c>
      <c r="C70" s="165">
        <f>'転記'!B36</f>
        <v/>
      </c>
      <c r="D70" s="190" t="inlineStr">
        <is>
          <t>ハイフンなし
※今年度の本事業にて既に登録されている電話番号は使用不可</t>
        </is>
      </c>
      <c r="E70" s="159" t="n"/>
      <c r="F70" s="140" t="n"/>
      <c r="G70" s="462" t="n"/>
      <c r="H70" s="462" t="n"/>
      <c r="I70" s="462" t="n"/>
      <c r="J70" s="462" t="n"/>
      <c r="K70" s="462" t="n"/>
      <c r="L70" s="462" t="n"/>
      <c r="M70" s="462" t="n"/>
      <c r="N70" s="462" t="n"/>
      <c r="O70" s="462" t="n"/>
      <c r="P70" s="462" t="n"/>
      <c r="Q70" s="462" t="n"/>
      <c r="R70" s="462" t="n"/>
      <c r="S70" s="462" t="n"/>
      <c r="T70" s="462" t="n"/>
      <c r="U70" s="462" t="n"/>
      <c r="V70" s="462" t="n"/>
      <c r="W70" s="462" t="n"/>
      <c r="X70" s="462" t="n"/>
      <c r="Y70" s="462" t="n"/>
      <c r="Z70" s="462" t="n"/>
    </row>
    <row r="71">
      <c r="A71" s="69" t="n"/>
      <c r="B71" s="162" t="inlineStr">
        <is>
          <t>代表者・役員数</t>
        </is>
      </c>
      <c r="C71" s="499" t="n"/>
      <c r="D71" s="190" t="inlineStr">
        <is>
          <t>代表者を含めた役員数
『履歴事項全部証明書』より記入
名前に下線が入った方は含めない（下線は過去の情報の為）</t>
        </is>
      </c>
      <c r="E71" s="191" t="n"/>
      <c r="F71" s="140" t="n"/>
      <c r="G71" s="462" t="n"/>
      <c r="H71" s="462" t="n"/>
      <c r="I71" s="462" t="n"/>
      <c r="J71" s="462" t="n"/>
      <c r="K71" s="462" t="n"/>
      <c r="L71" s="462" t="n"/>
      <c r="M71" s="462" t="n"/>
      <c r="N71" s="462" t="n"/>
      <c r="O71" s="462" t="n"/>
      <c r="P71" s="462" t="n"/>
      <c r="Q71" s="462" t="n"/>
      <c r="R71" s="462" t="n"/>
      <c r="S71" s="462" t="n"/>
      <c r="T71" s="462" t="n"/>
      <c r="U71" s="462" t="n"/>
      <c r="V71" s="462" t="n"/>
      <c r="W71" s="462" t="n"/>
      <c r="X71" s="462" t="n"/>
      <c r="Y71" s="462" t="n"/>
      <c r="Z71" s="462" t="n"/>
    </row>
    <row r="72">
      <c r="A72" s="69" t="n"/>
      <c r="B72" s="162" t="inlineStr">
        <is>
          <t>代表者役職</t>
        </is>
      </c>
      <c r="C72" s="499" t="n"/>
      <c r="D72" s="226" t="n"/>
      <c r="E72" s="191" t="n"/>
      <c r="F72" s="140" t="n"/>
      <c r="G72" s="462" t="n"/>
      <c r="H72" s="462" t="n"/>
      <c r="I72" s="462" t="n"/>
      <c r="J72" s="462" t="n"/>
      <c r="K72" s="462" t="n"/>
      <c r="L72" s="462" t="n"/>
      <c r="M72" s="462" t="n"/>
      <c r="N72" s="462" t="n"/>
      <c r="O72" s="462" t="n"/>
      <c r="P72" s="462" t="n"/>
      <c r="Q72" s="462" t="n"/>
      <c r="R72" s="462" t="n"/>
      <c r="S72" s="462" t="n"/>
      <c r="T72" s="462" t="n"/>
      <c r="U72" s="462" t="n"/>
      <c r="V72" s="462" t="n"/>
      <c r="W72" s="462" t="n"/>
      <c r="X72" s="462" t="n"/>
      <c r="Y72" s="462" t="n"/>
      <c r="Z72" s="462" t="n"/>
    </row>
    <row r="73">
      <c r="A73" s="69" t="n"/>
      <c r="B73" s="192" t="inlineStr">
        <is>
          <t>代表者氏名</t>
        </is>
      </c>
      <c r="C73" s="229" t="n"/>
      <c r="D73" s="462" t="n"/>
      <c r="E73" s="191" t="n"/>
      <c r="F73" s="140" t="n"/>
      <c r="G73" s="462" t="n"/>
      <c r="H73" s="462" t="n"/>
      <c r="I73" s="462" t="n"/>
      <c r="J73" s="462" t="n"/>
      <c r="K73" s="462" t="n"/>
      <c r="L73" s="462" t="n"/>
      <c r="M73" s="462" t="n"/>
      <c r="N73" s="462" t="n"/>
      <c r="O73" s="462" t="n"/>
      <c r="P73" s="462" t="n"/>
      <c r="Q73" s="462" t="n"/>
      <c r="R73" s="462" t="n"/>
      <c r="S73" s="462" t="n"/>
      <c r="T73" s="462" t="n"/>
      <c r="U73" s="462" t="n"/>
      <c r="V73" s="462" t="n"/>
      <c r="W73" s="462" t="n"/>
      <c r="X73" s="462" t="n"/>
      <c r="Y73" s="462" t="n"/>
      <c r="Z73" s="462" t="n"/>
    </row>
    <row r="74">
      <c r="A74" s="69" t="n"/>
      <c r="B74" s="192" t="inlineStr">
        <is>
          <t>代表者氏名（フリガナ）</t>
        </is>
      </c>
      <c r="C74" s="205" t="n"/>
      <c r="D74" s="460" t="n"/>
      <c r="E74" s="159" t="n"/>
      <c r="F74" s="140" t="n"/>
      <c r="G74" s="462" t="n"/>
      <c r="H74" s="462" t="n"/>
      <c r="I74" s="462" t="n"/>
      <c r="J74" s="462" t="n"/>
      <c r="K74" s="462" t="n"/>
      <c r="L74" s="462" t="n"/>
      <c r="M74" s="462" t="n"/>
      <c r="N74" s="462" t="n"/>
      <c r="O74" s="462" t="n"/>
      <c r="P74" s="462" t="n"/>
      <c r="Q74" s="462" t="n"/>
      <c r="R74" s="462" t="n"/>
      <c r="S74" s="462" t="n"/>
      <c r="T74" s="462" t="n"/>
      <c r="U74" s="462" t="n"/>
      <c r="V74" s="462" t="n"/>
      <c r="W74" s="462" t="n"/>
      <c r="X74" s="462" t="n"/>
      <c r="Y74" s="462" t="n"/>
      <c r="Z74" s="462" t="n"/>
    </row>
    <row r="75">
      <c r="A75" s="69" t="n"/>
      <c r="B75" s="192" t="inlineStr">
        <is>
          <t>代表電話番号</t>
        </is>
      </c>
      <c r="C75" s="165">
        <f>'転記'!B26</f>
        <v/>
      </c>
      <c r="D75" s="190" t="inlineStr">
        <is>
          <t>ハイフンなし</t>
        </is>
      </c>
      <c r="E75" s="159" t="n"/>
      <c r="F75" s="140" t="n"/>
      <c r="G75" s="462" t="n"/>
      <c r="H75" s="462" t="n"/>
      <c r="I75" s="462" t="n"/>
      <c r="J75" s="462" t="n"/>
      <c r="K75" s="462" t="n"/>
      <c r="L75" s="462" t="n"/>
      <c r="M75" s="462" t="n"/>
      <c r="N75" s="462" t="n"/>
      <c r="O75" s="462" t="n"/>
      <c r="P75" s="462" t="n"/>
      <c r="Q75" s="462" t="n"/>
      <c r="R75" s="462" t="n"/>
      <c r="S75" s="462" t="n"/>
      <c r="T75" s="462" t="n"/>
      <c r="U75" s="462" t="n"/>
      <c r="V75" s="462" t="n"/>
      <c r="W75" s="462" t="n"/>
      <c r="X75" s="462" t="n"/>
      <c r="Y75" s="462" t="n"/>
      <c r="Z75" s="462" t="n"/>
    </row>
    <row r="76">
      <c r="A76" s="123" t="n"/>
      <c r="B76" s="194" t="inlineStr">
        <is>
          <t>⇩必要に応じて（7名以上の場合は追加、不要欄は削除）</t>
        </is>
      </c>
      <c r="C76" s="195" t="n"/>
      <c r="D76" s="195" t="n"/>
      <c r="E76" s="223" t="n"/>
      <c r="F76" s="123" t="n"/>
      <c r="G76" s="462" t="n"/>
      <c r="H76" s="462" t="n"/>
      <c r="I76" s="462" t="n"/>
      <c r="J76" s="462" t="n"/>
      <c r="K76" s="462" t="n"/>
      <c r="L76" s="462" t="n"/>
      <c r="M76" s="462" t="n"/>
      <c r="N76" s="462" t="n"/>
      <c r="O76" s="462" t="n"/>
      <c r="P76" s="462" t="n"/>
      <c r="Q76" s="462" t="n"/>
      <c r="R76" s="462" t="n"/>
      <c r="S76" s="462" t="n"/>
      <c r="T76" s="462" t="n"/>
      <c r="U76" s="462" t="n"/>
      <c r="V76" s="462" t="n"/>
      <c r="W76" s="462" t="n"/>
      <c r="X76" s="462" t="n"/>
      <c r="Y76" s="462" t="n"/>
      <c r="Z76" s="462" t="n"/>
    </row>
    <row r="77">
      <c r="A77" s="197" t="n"/>
      <c r="B77" s="498" t="inlineStr">
        <is>
          <t>役員（1）役職</t>
        </is>
      </c>
      <c r="C77" s="499" t="n"/>
      <c r="D77" s="460" t="n"/>
      <c r="E77" s="191" t="n"/>
      <c r="F77" s="199" t="n"/>
      <c r="G77" s="462" t="n"/>
      <c r="H77" s="462" t="n"/>
      <c r="I77" s="462" t="n"/>
      <c r="J77" s="462" t="n"/>
      <c r="K77" s="462" t="n"/>
      <c r="L77" s="462" t="n"/>
      <c r="M77" s="462" t="n"/>
      <c r="N77" s="462" t="n"/>
      <c r="O77" s="462" t="n"/>
      <c r="P77" s="462" t="n"/>
      <c r="Q77" s="462" t="n"/>
      <c r="R77" s="462" t="n"/>
      <c r="S77" s="462" t="n"/>
      <c r="T77" s="462" t="n"/>
      <c r="U77" s="462" t="n"/>
      <c r="V77" s="462" t="n"/>
      <c r="W77" s="462" t="n"/>
      <c r="X77" s="462" t="n"/>
      <c r="Y77" s="462" t="n"/>
      <c r="Z77" s="462" t="n"/>
    </row>
    <row r="78">
      <c r="A78" s="200" t="n"/>
      <c r="B78" s="498" t="inlineStr">
        <is>
          <t>役員（1）氏名</t>
        </is>
      </c>
      <c r="C78" s="499" t="n"/>
      <c r="D78" s="460" t="n"/>
      <c r="E78" s="191" t="n"/>
      <c r="F78" s="140" t="n"/>
      <c r="G78" s="462" t="n"/>
      <c r="H78" s="462" t="n"/>
      <c r="I78" s="462" t="n"/>
      <c r="J78" s="462" t="n"/>
      <c r="K78" s="462" t="n"/>
      <c r="L78" s="462" t="n"/>
      <c r="M78" s="462" t="n"/>
      <c r="N78" s="462" t="n"/>
      <c r="O78" s="462" t="n"/>
      <c r="P78" s="462" t="n"/>
      <c r="Q78" s="462" t="n"/>
      <c r="R78" s="462" t="n"/>
      <c r="S78" s="462" t="n"/>
      <c r="T78" s="462" t="n"/>
      <c r="U78" s="462" t="n"/>
      <c r="V78" s="462" t="n"/>
      <c r="W78" s="462" t="n"/>
      <c r="X78" s="462" t="n"/>
      <c r="Y78" s="462" t="n"/>
      <c r="Z78" s="462" t="n"/>
    </row>
    <row r="79">
      <c r="A79" s="69" t="n"/>
      <c r="B79" s="498" t="inlineStr">
        <is>
          <t>役員（1）氏名フリガナ</t>
        </is>
      </c>
      <c r="C79" s="499" t="n"/>
      <c r="D79" s="190" t="inlineStr">
        <is>
          <t>フリガナは申請時に担当者へ確認</t>
        </is>
      </c>
      <c r="E79" s="191" t="n"/>
      <c r="F79" s="140" t="n"/>
      <c r="G79" s="462" t="n"/>
      <c r="H79" s="462" t="n"/>
      <c r="I79" s="462" t="n"/>
      <c r="J79" s="462" t="n"/>
      <c r="K79" s="462" t="n"/>
      <c r="L79" s="462" t="n"/>
      <c r="M79" s="462" t="n"/>
      <c r="N79" s="462" t="n"/>
      <c r="O79" s="462" t="n"/>
      <c r="P79" s="462" t="n"/>
      <c r="Q79" s="462" t="n"/>
      <c r="R79" s="462" t="n"/>
      <c r="S79" s="462" t="n"/>
      <c r="T79" s="462" t="n"/>
      <c r="U79" s="462" t="n"/>
      <c r="V79" s="462" t="n"/>
      <c r="W79" s="462" t="n"/>
      <c r="X79" s="462" t="n"/>
      <c r="Y79" s="462" t="n"/>
      <c r="Z79" s="462" t="n"/>
    </row>
    <row r="80">
      <c r="A80" s="69" t="n"/>
      <c r="B80" s="162" t="inlineStr">
        <is>
          <t>役員（2）役職</t>
        </is>
      </c>
      <c r="C80" s="499" t="n"/>
      <c r="D80" s="203" t="n"/>
      <c r="E80" s="159" t="n"/>
      <c r="F80" s="140" t="n"/>
      <c r="G80" s="462" t="n"/>
      <c r="H80" s="462" t="n"/>
      <c r="I80" s="462" t="n"/>
      <c r="J80" s="462" t="n"/>
      <c r="K80" s="462" t="n"/>
      <c r="L80" s="462" t="n"/>
      <c r="M80" s="462" t="n"/>
      <c r="N80" s="462" t="n"/>
      <c r="O80" s="462" t="n"/>
      <c r="P80" s="462" t="n"/>
      <c r="Q80" s="462" t="n"/>
      <c r="R80" s="462" t="n"/>
      <c r="S80" s="462" t="n"/>
      <c r="T80" s="462" t="n"/>
      <c r="U80" s="462" t="n"/>
      <c r="V80" s="462" t="n"/>
      <c r="W80" s="462" t="n"/>
      <c r="X80" s="462" t="n"/>
      <c r="Y80" s="462" t="n"/>
      <c r="Z80" s="462" t="n"/>
    </row>
    <row r="81">
      <c r="A81" s="69" t="n"/>
      <c r="B81" s="162" t="inlineStr">
        <is>
          <t>役員（2）氏名</t>
        </is>
      </c>
      <c r="C81" s="499" t="n"/>
      <c r="D81" s="203" t="n"/>
      <c r="E81" s="159" t="n"/>
      <c r="F81" s="140" t="n"/>
      <c r="G81" s="462" t="n"/>
      <c r="H81" s="462" t="n"/>
      <c r="I81" s="462" t="n"/>
      <c r="J81" s="462" t="n"/>
      <c r="K81" s="462" t="n"/>
      <c r="L81" s="462" t="n"/>
      <c r="M81" s="462" t="n"/>
      <c r="N81" s="462" t="n"/>
      <c r="O81" s="462" t="n"/>
      <c r="P81" s="462" t="n"/>
      <c r="Q81" s="462" t="n"/>
      <c r="R81" s="462" t="n"/>
      <c r="S81" s="462" t="n"/>
      <c r="T81" s="462" t="n"/>
      <c r="U81" s="462" t="n"/>
      <c r="V81" s="462" t="n"/>
      <c r="W81" s="462" t="n"/>
      <c r="X81" s="462" t="n"/>
      <c r="Y81" s="462" t="n"/>
      <c r="Z81" s="462" t="n"/>
    </row>
    <row r="82">
      <c r="A82" s="69" t="n"/>
      <c r="B82" s="162" t="inlineStr">
        <is>
          <t>役員（2）氏名フリガナ</t>
        </is>
      </c>
      <c r="C82" s="499" t="n"/>
      <c r="D82" s="203" t="n"/>
      <c r="E82" s="159" t="n"/>
      <c r="F82" s="140" t="n"/>
      <c r="G82" s="462" t="n"/>
      <c r="H82" s="462" t="n"/>
      <c r="I82" s="462" t="n"/>
      <c r="J82" s="462" t="n"/>
      <c r="K82" s="462" t="n"/>
      <c r="L82" s="462" t="n"/>
      <c r="M82" s="462" t="n"/>
      <c r="N82" s="462" t="n"/>
      <c r="O82" s="462" t="n"/>
      <c r="P82" s="462" t="n"/>
      <c r="Q82" s="462" t="n"/>
      <c r="R82" s="462" t="n"/>
      <c r="S82" s="462" t="n"/>
      <c r="T82" s="462" t="n"/>
      <c r="U82" s="462" t="n"/>
      <c r="V82" s="462" t="n"/>
      <c r="W82" s="462" t="n"/>
      <c r="X82" s="462" t="n"/>
      <c r="Y82" s="462" t="n"/>
      <c r="Z82" s="462" t="n"/>
    </row>
    <row r="83">
      <c r="A83" s="69" t="n"/>
      <c r="B83" s="498" t="inlineStr">
        <is>
          <t>役員（3）役職</t>
        </is>
      </c>
      <c r="C83" s="499" t="n"/>
      <c r="D83" s="203" t="n"/>
      <c r="E83" s="159" t="n"/>
      <c r="F83" s="140" t="n"/>
      <c r="G83" s="462" t="n"/>
      <c r="H83" s="462" t="n"/>
      <c r="I83" s="462" t="n"/>
      <c r="J83" s="462" t="n"/>
      <c r="K83" s="462" t="n"/>
      <c r="L83" s="462" t="n"/>
      <c r="M83" s="462" t="n"/>
      <c r="N83" s="462" t="n"/>
      <c r="O83" s="462" t="n"/>
      <c r="P83" s="462" t="n"/>
      <c r="Q83" s="462" t="n"/>
      <c r="R83" s="462" t="n"/>
      <c r="S83" s="462" t="n"/>
      <c r="T83" s="462" t="n"/>
      <c r="U83" s="462" t="n"/>
      <c r="V83" s="462" t="n"/>
      <c r="W83" s="462" t="n"/>
      <c r="X83" s="462" t="n"/>
      <c r="Y83" s="462" t="n"/>
      <c r="Z83" s="462" t="n"/>
    </row>
    <row r="84">
      <c r="A84" s="69" t="n"/>
      <c r="B84" s="498" t="inlineStr">
        <is>
          <t>役員（3）氏名</t>
        </is>
      </c>
      <c r="C84" s="499" t="n"/>
      <c r="D84" s="203" t="n"/>
      <c r="E84" s="159" t="n"/>
      <c r="F84" s="140" t="n"/>
      <c r="G84" s="462" t="n"/>
      <c r="H84" s="462" t="n"/>
      <c r="I84" s="462" t="n"/>
      <c r="J84" s="462" t="n"/>
      <c r="K84" s="462" t="n"/>
      <c r="L84" s="462" t="n"/>
      <c r="M84" s="462" t="n"/>
      <c r="N84" s="462" t="n"/>
      <c r="O84" s="462" t="n"/>
      <c r="P84" s="462" t="n"/>
      <c r="Q84" s="462" t="n"/>
      <c r="R84" s="462" t="n"/>
      <c r="S84" s="462" t="n"/>
      <c r="T84" s="462" t="n"/>
      <c r="U84" s="462" t="n"/>
      <c r="V84" s="462" t="n"/>
      <c r="W84" s="462" t="n"/>
      <c r="X84" s="462" t="n"/>
      <c r="Y84" s="462" t="n"/>
      <c r="Z84" s="462" t="n"/>
    </row>
    <row r="85">
      <c r="A85" s="69" t="n"/>
      <c r="B85" s="498" t="inlineStr">
        <is>
          <t>役員（3）氏名フリガナ</t>
        </is>
      </c>
      <c r="C85" s="499" t="n"/>
      <c r="D85" s="203" t="n"/>
      <c r="E85" s="159" t="n"/>
      <c r="F85" s="140" t="n"/>
      <c r="G85" s="462" t="n"/>
      <c r="H85" s="462" t="n"/>
      <c r="I85" s="462" t="n"/>
      <c r="J85" s="462" t="n"/>
      <c r="K85" s="462" t="n"/>
      <c r="L85" s="462" t="n"/>
      <c r="M85" s="462" t="n"/>
      <c r="N85" s="462" t="n"/>
      <c r="O85" s="462" t="n"/>
      <c r="P85" s="462" t="n"/>
      <c r="Q85" s="462" t="n"/>
      <c r="R85" s="462" t="n"/>
      <c r="S85" s="462" t="n"/>
      <c r="T85" s="462" t="n"/>
      <c r="U85" s="462" t="n"/>
      <c r="V85" s="462" t="n"/>
      <c r="W85" s="462" t="n"/>
      <c r="X85" s="462" t="n"/>
      <c r="Y85" s="462" t="n"/>
      <c r="Z85" s="462" t="n"/>
    </row>
    <row r="86">
      <c r="A86" s="69" t="n"/>
      <c r="B86" s="162" t="inlineStr">
        <is>
          <t>役員（4）役職</t>
        </is>
      </c>
      <c r="C86" s="499" t="n"/>
      <c r="D86" s="203" t="n"/>
      <c r="E86" s="159" t="n"/>
      <c r="F86" s="140" t="n"/>
      <c r="G86" s="462" t="n"/>
      <c r="H86" s="462" t="n"/>
      <c r="I86" s="462" t="n"/>
      <c r="J86" s="462" t="n"/>
      <c r="K86" s="462" t="n"/>
      <c r="L86" s="462" t="n"/>
      <c r="M86" s="462" t="n"/>
      <c r="N86" s="462" t="n"/>
      <c r="O86" s="462" t="n"/>
      <c r="P86" s="462" t="n"/>
      <c r="Q86" s="462" t="n"/>
      <c r="R86" s="462" t="n"/>
      <c r="S86" s="462" t="n"/>
      <c r="T86" s="462" t="n"/>
      <c r="U86" s="462" t="n"/>
      <c r="V86" s="462" t="n"/>
      <c r="W86" s="462" t="n"/>
      <c r="X86" s="462" t="n"/>
      <c r="Y86" s="462" t="n"/>
      <c r="Z86" s="462" t="n"/>
    </row>
    <row r="87">
      <c r="A87" s="69" t="n"/>
      <c r="B87" s="162" t="inlineStr">
        <is>
          <t>役員（4）氏名</t>
        </is>
      </c>
      <c r="C87" s="499" t="n"/>
      <c r="D87" s="203" t="n"/>
      <c r="E87" s="159" t="n"/>
      <c r="F87" s="140" t="n"/>
      <c r="G87" s="462" t="n"/>
      <c r="H87" s="462" t="n"/>
      <c r="I87" s="462" t="n"/>
      <c r="J87" s="462" t="n"/>
      <c r="K87" s="462" t="n"/>
      <c r="L87" s="462" t="n"/>
      <c r="M87" s="462" t="n"/>
      <c r="N87" s="462" t="n"/>
      <c r="O87" s="462" t="n"/>
      <c r="P87" s="462" t="n"/>
      <c r="Q87" s="462" t="n"/>
      <c r="R87" s="462" t="n"/>
      <c r="S87" s="462" t="n"/>
      <c r="T87" s="462" t="n"/>
      <c r="U87" s="462" t="n"/>
      <c r="V87" s="462" t="n"/>
      <c r="W87" s="462" t="n"/>
      <c r="X87" s="462" t="n"/>
      <c r="Y87" s="462" t="n"/>
      <c r="Z87" s="462" t="n"/>
    </row>
    <row r="88">
      <c r="A88" s="69" t="n"/>
      <c r="B88" s="162" t="inlineStr">
        <is>
          <t>役員（4）氏名フリガナ</t>
        </is>
      </c>
      <c r="C88" s="499" t="n"/>
      <c r="D88" s="203" t="n"/>
      <c r="E88" s="159" t="n"/>
      <c r="F88" s="140" t="n"/>
      <c r="G88" s="462" t="n"/>
      <c r="H88" s="462" t="n"/>
      <c r="I88" s="462" t="n"/>
      <c r="J88" s="462" t="n"/>
      <c r="K88" s="462" t="n"/>
      <c r="L88" s="462" t="n"/>
      <c r="M88" s="462" t="n"/>
      <c r="N88" s="462" t="n"/>
      <c r="O88" s="462" t="n"/>
      <c r="P88" s="462" t="n"/>
      <c r="Q88" s="462" t="n"/>
      <c r="R88" s="462" t="n"/>
      <c r="S88" s="462" t="n"/>
      <c r="T88" s="462" t="n"/>
      <c r="U88" s="462" t="n"/>
      <c r="V88" s="462" t="n"/>
      <c r="W88" s="462" t="n"/>
      <c r="X88" s="462" t="n"/>
      <c r="Y88" s="462" t="n"/>
      <c r="Z88" s="462" t="n"/>
    </row>
    <row r="89">
      <c r="A89" s="69" t="n"/>
      <c r="B89" s="498" t="inlineStr">
        <is>
          <t>役員（5）役職</t>
        </is>
      </c>
      <c r="C89" s="499" t="n"/>
      <c r="D89" s="203" t="n"/>
      <c r="E89" s="191" t="n"/>
      <c r="F89" s="202" t="n"/>
      <c r="G89" s="462" t="n"/>
      <c r="H89" s="462" t="n"/>
      <c r="I89" s="462" t="n"/>
      <c r="J89" s="462" t="n"/>
      <c r="K89" s="462" t="n"/>
      <c r="L89" s="462" t="n"/>
      <c r="M89" s="462" t="n"/>
      <c r="N89" s="462" t="n"/>
      <c r="O89" s="462" t="n"/>
      <c r="P89" s="462" t="n"/>
      <c r="Q89" s="462" t="n"/>
      <c r="R89" s="462" t="n"/>
      <c r="S89" s="462" t="n"/>
      <c r="T89" s="462" t="n"/>
      <c r="U89" s="462" t="n"/>
      <c r="V89" s="462" t="n"/>
      <c r="W89" s="462" t="n"/>
      <c r="X89" s="462" t="n"/>
      <c r="Y89" s="462" t="n"/>
      <c r="Z89" s="462" t="n"/>
    </row>
    <row r="90">
      <c r="A90" s="69" t="n"/>
      <c r="B90" s="498" t="inlineStr">
        <is>
          <t>役員（5）氏名</t>
        </is>
      </c>
      <c r="C90" s="499" t="n"/>
      <c r="D90" s="203" t="n"/>
      <c r="E90" s="191" t="n"/>
      <c r="F90" s="202" t="n"/>
      <c r="G90" s="462" t="n"/>
      <c r="H90" s="462" t="n"/>
      <c r="I90" s="462" t="n"/>
      <c r="J90" s="462" t="n"/>
      <c r="K90" s="462" t="n"/>
      <c r="L90" s="462" t="n"/>
      <c r="M90" s="462" t="n"/>
      <c r="N90" s="462" t="n"/>
      <c r="O90" s="462" t="n"/>
      <c r="P90" s="462" t="n"/>
      <c r="Q90" s="462" t="n"/>
      <c r="R90" s="462" t="n"/>
      <c r="S90" s="462" t="n"/>
      <c r="T90" s="462" t="n"/>
      <c r="U90" s="462" t="n"/>
      <c r="V90" s="462" t="n"/>
      <c r="W90" s="462" t="n"/>
      <c r="X90" s="462" t="n"/>
      <c r="Y90" s="462" t="n"/>
      <c r="Z90" s="462" t="n"/>
    </row>
    <row r="91">
      <c r="A91" s="69" t="n"/>
      <c r="B91" s="498" t="inlineStr">
        <is>
          <t>役員（5）氏名フリガナ</t>
        </is>
      </c>
      <c r="C91" s="499" t="n"/>
      <c r="D91" s="203" t="n"/>
      <c r="E91" s="191" t="n"/>
      <c r="F91" s="202" t="n"/>
      <c r="G91" s="462" t="n"/>
      <c r="H91" s="462" t="n"/>
      <c r="I91" s="462" t="n"/>
      <c r="J91" s="462" t="n"/>
      <c r="K91" s="462" t="n"/>
      <c r="L91" s="462" t="n"/>
      <c r="M91" s="462" t="n"/>
      <c r="N91" s="462" t="n"/>
      <c r="O91" s="462" t="n"/>
      <c r="P91" s="462" t="n"/>
      <c r="Q91" s="462" t="n"/>
      <c r="R91" s="462" t="n"/>
      <c r="S91" s="462" t="n"/>
      <c r="T91" s="462" t="n"/>
      <c r="U91" s="462" t="n"/>
      <c r="V91" s="462" t="n"/>
      <c r="W91" s="462" t="n"/>
      <c r="X91" s="462" t="n"/>
      <c r="Y91" s="462" t="n"/>
      <c r="Z91" s="462" t="n"/>
    </row>
    <row r="92">
      <c r="A92" s="69" t="n"/>
      <c r="B92" s="162" t="inlineStr">
        <is>
          <t>役員（6）役職</t>
        </is>
      </c>
      <c r="C92" s="499" t="n"/>
      <c r="D92" s="203" t="n"/>
      <c r="E92" s="159" t="n"/>
      <c r="F92" s="140" t="n"/>
      <c r="G92" s="462" t="n"/>
      <c r="H92" s="462" t="n"/>
      <c r="I92" s="462" t="n"/>
      <c r="J92" s="462" t="n"/>
      <c r="K92" s="462" t="n"/>
      <c r="L92" s="462" t="n"/>
      <c r="M92" s="462" t="n"/>
      <c r="N92" s="462" t="n"/>
      <c r="O92" s="462" t="n"/>
      <c r="P92" s="462" t="n"/>
      <c r="Q92" s="462" t="n"/>
      <c r="R92" s="462" t="n"/>
      <c r="S92" s="462" t="n"/>
      <c r="T92" s="462" t="n"/>
      <c r="U92" s="462" t="n"/>
      <c r="V92" s="462" t="n"/>
      <c r="W92" s="462" t="n"/>
      <c r="X92" s="462" t="n"/>
      <c r="Y92" s="462" t="n"/>
      <c r="Z92" s="462" t="n"/>
    </row>
    <row r="93">
      <c r="A93" s="69" t="n"/>
      <c r="B93" s="162" t="inlineStr">
        <is>
          <t>役員（6）氏名</t>
        </is>
      </c>
      <c r="C93" s="499" t="n"/>
      <c r="D93" s="203" t="n"/>
      <c r="E93" s="159" t="n"/>
      <c r="F93" s="140" t="n"/>
      <c r="G93" s="462" t="n"/>
      <c r="H93" s="462" t="n"/>
      <c r="I93" s="462" t="n"/>
      <c r="J93" s="462" t="n"/>
      <c r="K93" s="462" t="n"/>
      <c r="L93" s="462" t="n"/>
      <c r="M93" s="462" t="n"/>
      <c r="N93" s="462" t="n"/>
      <c r="O93" s="462" t="n"/>
      <c r="P93" s="462" t="n"/>
      <c r="Q93" s="462" t="n"/>
      <c r="R93" s="462" t="n"/>
      <c r="S93" s="462" t="n"/>
      <c r="T93" s="462" t="n"/>
      <c r="U93" s="462" t="n"/>
      <c r="V93" s="462" t="n"/>
      <c r="W93" s="462" t="n"/>
      <c r="X93" s="462" t="n"/>
      <c r="Y93" s="462" t="n"/>
      <c r="Z93" s="462" t="n"/>
    </row>
    <row r="94">
      <c r="A94" s="69" t="n"/>
      <c r="B94" s="162" t="inlineStr">
        <is>
          <t>役員（6）氏名フリガナ</t>
        </is>
      </c>
      <c r="C94" s="499" t="n"/>
      <c r="D94" s="203" t="n"/>
      <c r="E94" s="159" t="n"/>
      <c r="F94" s="140" t="n"/>
      <c r="G94" s="462" t="n"/>
      <c r="H94" s="462" t="n"/>
      <c r="I94" s="462" t="n"/>
      <c r="J94" s="462" t="n"/>
      <c r="K94" s="462" t="n"/>
      <c r="L94" s="462" t="n"/>
      <c r="M94" s="462" t="n"/>
      <c r="N94" s="462" t="n"/>
      <c r="O94" s="462" t="n"/>
      <c r="P94" s="462" t="n"/>
      <c r="Q94" s="462" t="n"/>
      <c r="R94" s="462" t="n"/>
      <c r="S94" s="462" t="n"/>
      <c r="T94" s="462" t="n"/>
      <c r="U94" s="462" t="n"/>
      <c r="V94" s="462" t="n"/>
      <c r="W94" s="462" t="n"/>
      <c r="X94" s="462" t="n"/>
      <c r="Y94" s="462" t="n"/>
      <c r="Z94" s="462" t="n"/>
    </row>
    <row r="95">
      <c r="A95" s="69" t="n"/>
      <c r="B95" s="498" t="inlineStr">
        <is>
          <t>役員（7）役職</t>
        </is>
      </c>
      <c r="C95" s="499" t="n"/>
      <c r="D95" s="203" t="n"/>
      <c r="E95" s="191" t="n"/>
      <c r="F95" s="202" t="n"/>
      <c r="G95" s="462" t="n"/>
      <c r="H95" s="462" t="n"/>
      <c r="I95" s="462" t="n"/>
      <c r="J95" s="462" t="n"/>
      <c r="K95" s="462" t="n"/>
      <c r="L95" s="462" t="n"/>
      <c r="M95" s="462" t="n"/>
      <c r="N95" s="462" t="n"/>
      <c r="O95" s="462" t="n"/>
      <c r="P95" s="462" t="n"/>
      <c r="Q95" s="462" t="n"/>
      <c r="R95" s="462" t="n"/>
      <c r="S95" s="462" t="n"/>
      <c r="T95" s="462" t="n"/>
      <c r="U95" s="462" t="n"/>
      <c r="V95" s="462" t="n"/>
      <c r="W95" s="462" t="n"/>
      <c r="X95" s="462" t="n"/>
      <c r="Y95" s="462" t="n"/>
      <c r="Z95" s="462" t="n"/>
    </row>
    <row r="96">
      <c r="A96" s="69" t="n"/>
      <c r="B96" s="498" t="inlineStr">
        <is>
          <t>役員（7）氏名</t>
        </is>
      </c>
      <c r="C96" s="499" t="n"/>
      <c r="D96" s="203" t="n"/>
      <c r="E96" s="191" t="n"/>
      <c r="F96" s="202" t="n"/>
      <c r="G96" s="462" t="n"/>
      <c r="H96" s="462" t="n"/>
      <c r="I96" s="462" t="n"/>
      <c r="J96" s="462" t="n"/>
      <c r="K96" s="462" t="n"/>
      <c r="L96" s="462" t="n"/>
      <c r="M96" s="462" t="n"/>
      <c r="N96" s="462" t="n"/>
      <c r="O96" s="462" t="n"/>
      <c r="P96" s="462" t="n"/>
      <c r="Q96" s="462" t="n"/>
      <c r="R96" s="462" t="n"/>
      <c r="S96" s="462" t="n"/>
      <c r="T96" s="462" t="n"/>
      <c r="U96" s="462" t="n"/>
      <c r="V96" s="462" t="n"/>
      <c r="W96" s="462" t="n"/>
      <c r="X96" s="462" t="n"/>
      <c r="Y96" s="462" t="n"/>
      <c r="Z96" s="462" t="n"/>
    </row>
    <row r="97">
      <c r="A97" s="69" t="n"/>
      <c r="B97" s="498" t="inlineStr">
        <is>
          <t>役員（7）氏名フリガナ</t>
        </is>
      </c>
      <c r="C97" s="499" t="n"/>
      <c r="D97" s="203" t="n"/>
      <c r="E97" s="191" t="n"/>
      <c r="F97" s="202" t="n"/>
      <c r="G97" s="462" t="n"/>
      <c r="H97" s="462" t="n"/>
      <c r="I97" s="462" t="n"/>
      <c r="J97" s="462" t="n"/>
      <c r="K97" s="462" t="n"/>
      <c r="L97" s="462" t="n"/>
      <c r="M97" s="462" t="n"/>
      <c r="N97" s="462" t="n"/>
      <c r="O97" s="462" t="n"/>
      <c r="P97" s="462" t="n"/>
      <c r="Q97" s="462" t="n"/>
      <c r="R97" s="462" t="n"/>
      <c r="S97" s="462" t="n"/>
      <c r="T97" s="462" t="n"/>
      <c r="U97" s="462" t="n"/>
      <c r="V97" s="462" t="n"/>
      <c r="W97" s="462" t="n"/>
      <c r="X97" s="462" t="n"/>
      <c r="Y97" s="462" t="n"/>
      <c r="Z97" s="462" t="n"/>
    </row>
    <row r="98">
      <c r="A98" s="69" t="n"/>
      <c r="B98" s="498" t="inlineStr">
        <is>
          <t>役員（8）役職</t>
        </is>
      </c>
      <c r="C98" s="499" t="n"/>
      <c r="D98" s="203" t="n"/>
    </row>
    <row r="99">
      <c r="B99" s="0" t="inlineStr">
        <is>
          <t>役員（8）氏名</t>
        </is>
      </c>
    </row>
    <row r="100">
      <c r="B100" s="0" t="inlineStr">
        <is>
          <t>役員（8）氏名フリガナ</t>
        </is>
      </c>
    </row>
    <row r="101">
      <c r="A101" s="69" t="n"/>
      <c r="B101" s="498" t="inlineStr">
        <is>
          <t>役員（9）役職</t>
        </is>
      </c>
      <c r="C101" s="499" t="n"/>
      <c r="D101" s="203" t="n"/>
    </row>
    <row r="102">
      <c r="B102" s="0" t="inlineStr">
        <is>
          <t>役員（9）氏名</t>
        </is>
      </c>
    </row>
    <row r="103">
      <c r="B103" s="0" t="inlineStr">
        <is>
          <t>役員（9）氏名フリガナ</t>
        </is>
      </c>
    </row>
    <row r="104" outlineLevel="1" s="477">
      <c r="A104" s="69" t="n"/>
      <c r="B104" s="498" t="inlineStr">
        <is>
          <t>役員（10）役職</t>
        </is>
      </c>
      <c r="C104" s="499" t="n"/>
      <c r="D104" s="203" t="n"/>
    </row>
    <row r="105" outlineLevel="1" s="477">
      <c r="B105" s="0" t="inlineStr">
        <is>
          <t>役員（10）氏名</t>
        </is>
      </c>
    </row>
    <row r="106" outlineLevel="1" s="477">
      <c r="B106" s="0" t="inlineStr">
        <is>
          <t>役員（10）氏名フリガナ</t>
        </is>
      </c>
    </row>
    <row r="107">
      <c r="A107" s="69" t="n"/>
      <c r="B107" s="230" t="inlineStr">
        <is>
          <t>従業員数：正規雇用</t>
        </is>
      </c>
      <c r="C107" s="205">
        <f>'転記'!B38</f>
        <v/>
      </c>
      <c r="D107" s="206" t="inlineStr">
        <is>
          <t>申請時の人数　　　※実績報告時に人数が変更になった場合は修正</t>
        </is>
      </c>
      <c r="E107" s="191" t="n"/>
      <c r="F107" s="202" t="n"/>
      <c r="G107" s="462" t="n"/>
      <c r="H107" s="462" t="n"/>
      <c r="I107" s="462" t="n"/>
      <c r="J107" s="462" t="n"/>
      <c r="K107" s="462" t="n"/>
      <c r="L107" s="462" t="n"/>
      <c r="M107" s="462" t="n"/>
      <c r="N107" s="462" t="n"/>
      <c r="O107" s="462" t="n"/>
      <c r="P107" s="462" t="n"/>
      <c r="Q107" s="462" t="n"/>
      <c r="R107" s="462" t="n"/>
      <c r="S107" s="462" t="n"/>
      <c r="T107" s="462" t="n"/>
      <c r="U107" s="462" t="n"/>
      <c r="V107" s="462" t="n"/>
      <c r="W107" s="462" t="n"/>
      <c r="X107" s="462" t="n"/>
      <c r="Y107" s="462" t="n"/>
      <c r="Z107" s="462" t="n"/>
    </row>
    <row r="108">
      <c r="A108" s="69" t="n"/>
      <c r="B108" s="230" t="inlineStr">
        <is>
          <t>従業員数：契約社員</t>
        </is>
      </c>
      <c r="C108" s="205">
        <f>'転記'!B40</f>
        <v/>
      </c>
      <c r="D108" s="206" t="inlineStr">
        <is>
          <t>申請時の人数</t>
        </is>
      </c>
      <c r="E108" s="191" t="n"/>
      <c r="F108" s="202" t="n"/>
      <c r="G108" s="462" t="n"/>
      <c r="H108" s="462" t="n"/>
      <c r="I108" s="462" t="n"/>
      <c r="J108" s="462" t="n"/>
      <c r="K108" s="462" t="n"/>
      <c r="L108" s="462" t="n"/>
      <c r="M108" s="462" t="n"/>
      <c r="N108" s="462" t="n"/>
      <c r="O108" s="462" t="n"/>
      <c r="P108" s="462" t="n"/>
      <c r="Q108" s="462" t="n"/>
      <c r="R108" s="462" t="n"/>
      <c r="S108" s="462" t="n"/>
      <c r="T108" s="462" t="n"/>
      <c r="U108" s="462" t="n"/>
      <c r="V108" s="462" t="n"/>
      <c r="W108" s="462" t="n"/>
      <c r="X108" s="462" t="n"/>
      <c r="Y108" s="462" t="n"/>
      <c r="Z108" s="462" t="n"/>
    </row>
    <row r="109">
      <c r="A109" s="69" t="n"/>
      <c r="B109" s="230" t="inlineStr">
        <is>
          <t>従業員数：パートアルバイト</t>
        </is>
      </c>
      <c r="C109" s="205">
        <f>'転記'!B42</f>
        <v/>
      </c>
      <c r="D109" s="206" t="inlineStr">
        <is>
          <t>申請時の人数</t>
        </is>
      </c>
      <c r="E109" s="191" t="n"/>
      <c r="F109" s="202" t="n"/>
      <c r="G109" s="462" t="n"/>
      <c r="H109" s="462" t="n"/>
      <c r="I109" s="462" t="n"/>
      <c r="J109" s="462" t="n"/>
      <c r="K109" s="462" t="n"/>
      <c r="L109" s="462" t="n"/>
      <c r="M109" s="462" t="n"/>
      <c r="N109" s="462" t="n"/>
      <c r="O109" s="462" t="n"/>
      <c r="P109" s="462" t="n"/>
      <c r="Q109" s="462" t="n"/>
      <c r="R109" s="462" t="n"/>
      <c r="S109" s="462" t="n"/>
      <c r="T109" s="462" t="n"/>
      <c r="U109" s="462" t="n"/>
      <c r="V109" s="462" t="n"/>
      <c r="W109" s="462" t="n"/>
      <c r="X109" s="462" t="n"/>
      <c r="Y109" s="462" t="n"/>
      <c r="Z109" s="462" t="n"/>
    </row>
    <row r="110" ht="9" customHeight="1" s="477">
      <c r="A110" s="69" t="n"/>
      <c r="B110" s="230" t="inlineStr">
        <is>
          <t>従業員数：派遣社員</t>
        </is>
      </c>
      <c r="C110" s="205">
        <f>'転記'!B44</f>
        <v/>
      </c>
      <c r="D110" s="206" t="inlineStr">
        <is>
          <t>申請時の人数</t>
        </is>
      </c>
      <c r="E110" s="191" t="n"/>
      <c r="F110" s="202" t="n"/>
      <c r="G110" s="462" t="n"/>
      <c r="H110" s="462" t="n"/>
      <c r="I110" s="462" t="n"/>
      <c r="J110" s="462" t="n"/>
      <c r="K110" s="462" t="n"/>
      <c r="L110" s="462" t="n"/>
      <c r="M110" s="462" t="n"/>
      <c r="N110" s="462" t="n"/>
      <c r="O110" s="462" t="n"/>
      <c r="P110" s="462" t="n"/>
      <c r="Q110" s="462" t="n"/>
      <c r="R110" s="462" t="n"/>
      <c r="S110" s="462" t="n"/>
      <c r="T110" s="462" t="n"/>
      <c r="U110" s="462" t="n"/>
      <c r="V110" s="462" t="n"/>
      <c r="W110" s="462" t="n"/>
      <c r="X110" s="462" t="n"/>
      <c r="Y110" s="462" t="n"/>
      <c r="Z110" s="462" t="n"/>
    </row>
    <row r="111" ht="25.5" customHeight="1" s="477">
      <c r="A111" s="69" t="n"/>
      <c r="B111" s="230" t="inlineStr">
        <is>
          <t>従業員数：その他</t>
        </is>
      </c>
      <c r="C111" s="205">
        <f>'転記'!B46</f>
        <v/>
      </c>
      <c r="D111" s="206" t="inlineStr">
        <is>
          <t>申請時の人数</t>
        </is>
      </c>
      <c r="E111" s="159" t="n"/>
      <c r="F111" s="140" t="n"/>
      <c r="G111" s="462" t="n"/>
      <c r="H111" s="462" t="n"/>
      <c r="I111" s="462" t="n"/>
      <c r="J111" s="462" t="n"/>
      <c r="K111" s="462" t="n"/>
      <c r="L111" s="462" t="n"/>
      <c r="M111" s="462" t="n"/>
      <c r="N111" s="462" t="n"/>
      <c r="O111" s="462" t="n"/>
      <c r="P111" s="462" t="n"/>
      <c r="Q111" s="462" t="n"/>
      <c r="R111" s="462" t="n"/>
      <c r="S111" s="462" t="n"/>
      <c r="T111" s="462" t="n"/>
      <c r="U111" s="462" t="n"/>
      <c r="V111" s="462" t="n"/>
      <c r="W111" s="462" t="n"/>
      <c r="X111" s="462" t="n"/>
      <c r="Y111" s="462" t="n"/>
      <c r="Z111" s="462" t="n"/>
    </row>
    <row r="112">
      <c r="A112" s="69" t="n"/>
      <c r="B112" s="162" t="inlineStr">
        <is>
          <t>過去年度交付決定
（過去に類似の補助金の交付を受けている）
※類似の補助金とは、当該年度以外の中小企業デジタル化・AI導入支援事業費補助金を指します。</t>
        </is>
      </c>
      <c r="C112" s="207" t="n"/>
      <c r="D112" s="208" t="inlineStr">
        <is>
          <t>『転記』シートより、プルダウンを選択（あり/なし）
※採択日から12ヶ月未満の場合は申請不可
※過去採択者検索</t>
        </is>
      </c>
      <c r="E112" s="159" t="n"/>
      <c r="F112" s="140" t="n"/>
      <c r="G112" s="462" t="n"/>
      <c r="H112" s="462" t="n"/>
      <c r="I112" s="462" t="n"/>
      <c r="J112" s="462" t="n"/>
      <c r="K112" s="462" t="n"/>
      <c r="L112" s="462" t="n"/>
      <c r="M112" s="462" t="n"/>
      <c r="N112" s="462" t="n"/>
      <c r="O112" s="462" t="n"/>
      <c r="P112" s="462" t="n"/>
      <c r="Q112" s="462" t="n"/>
      <c r="R112" s="462" t="n"/>
      <c r="S112" s="462" t="n"/>
      <c r="T112" s="462" t="n"/>
      <c r="U112" s="462" t="n"/>
      <c r="V112" s="462" t="n"/>
      <c r="W112" s="462" t="n"/>
      <c r="X112" s="462" t="n"/>
      <c r="Y112" s="462" t="n"/>
      <c r="Z112" s="462" t="n"/>
    </row>
    <row r="113">
      <c r="A113" s="69" t="n"/>
      <c r="B113" s="209" t="inlineStr">
        <is>
          <t>申請年度</t>
        </is>
      </c>
      <c r="C113" s="482" t="n"/>
      <c r="D113" s="482" t="n"/>
      <c r="E113" s="510" t="n"/>
      <c r="F113" s="140" t="n"/>
      <c r="G113" s="462" t="n"/>
      <c r="H113" s="462" t="n"/>
      <c r="I113" s="462" t="n"/>
      <c r="J113" s="462" t="n"/>
      <c r="K113" s="462" t="n"/>
      <c r="L113" s="462" t="n"/>
      <c r="M113" s="462" t="n"/>
      <c r="N113" s="462" t="n"/>
      <c r="O113" s="462" t="n"/>
      <c r="P113" s="462" t="n"/>
      <c r="Q113" s="462" t="n"/>
      <c r="R113" s="462" t="n"/>
      <c r="S113" s="462" t="n"/>
      <c r="T113" s="462" t="n"/>
      <c r="U113" s="462" t="n"/>
      <c r="V113" s="462" t="n"/>
      <c r="W113" s="462" t="n"/>
      <c r="X113" s="462" t="n"/>
      <c r="Y113" s="462" t="n"/>
      <c r="Z113" s="462" t="n"/>
    </row>
    <row r="114" ht="6" customHeight="1" s="477">
      <c r="A114" s="69" t="n"/>
      <c r="B114" s="212" t="inlineStr">
        <is>
          <t>申請枠</t>
        </is>
      </c>
      <c r="C114" s="210">
        <f>'転記'!B51</f>
        <v/>
      </c>
      <c r="D114" s="210" t="n"/>
      <c r="E114" s="211" t="n"/>
      <c r="F114" s="140" t="n"/>
      <c r="G114" s="462" t="n"/>
      <c r="H114" s="462" t="n"/>
      <c r="I114" s="462" t="n"/>
      <c r="J114" s="462" t="n"/>
      <c r="K114" s="462" t="n"/>
      <c r="L114" s="462" t="n"/>
      <c r="M114" s="462" t="n"/>
      <c r="N114" s="462" t="n"/>
      <c r="O114" s="462" t="n"/>
      <c r="P114" s="462" t="n"/>
      <c r="Q114" s="462" t="n"/>
      <c r="R114" s="462" t="n"/>
      <c r="S114" s="462" t="n"/>
      <c r="T114" s="462" t="n"/>
      <c r="U114" s="462" t="n"/>
      <c r="V114" s="462" t="n"/>
      <c r="W114" s="462" t="n"/>
      <c r="X114" s="462" t="n"/>
      <c r="Y114" s="462" t="n"/>
      <c r="Z114" s="462" t="n"/>
    </row>
    <row r="115">
      <c r="A115" s="69" t="n"/>
      <c r="B115" s="212" t="inlineStr">
        <is>
          <t>申請回</t>
        </is>
      </c>
      <c r="C115" s="210">
        <f>'転記'!B52</f>
        <v/>
      </c>
      <c r="D115" s="210" t="n"/>
      <c r="E115" s="211" t="n"/>
      <c r="F115" s="140" t="n"/>
      <c r="G115" s="462" t="n"/>
      <c r="H115" s="462" t="n"/>
      <c r="I115" s="462" t="n"/>
      <c r="J115" s="462" t="n"/>
      <c r="K115" s="462" t="n"/>
      <c r="L115" s="462" t="n"/>
      <c r="M115" s="462" t="n"/>
      <c r="N115" s="462" t="n"/>
      <c r="O115" s="462" t="n"/>
      <c r="P115" s="462" t="n"/>
      <c r="Q115" s="462" t="n"/>
      <c r="R115" s="462" t="n"/>
      <c r="S115" s="462" t="n"/>
      <c r="T115" s="462" t="n"/>
      <c r="U115" s="462" t="n"/>
      <c r="V115" s="462" t="n"/>
      <c r="W115" s="462" t="n"/>
      <c r="X115" s="462" t="n"/>
      <c r="Y115" s="462" t="n"/>
      <c r="Z115" s="462" t="n"/>
    </row>
    <row r="116" ht="9" customHeight="1" s="477">
      <c r="A116" s="69" t="n"/>
      <c r="B116" s="162" t="inlineStr">
        <is>
          <t>えるぼし認定</t>
        </is>
      </c>
      <c r="C116" s="213" t="n"/>
      <c r="D116" s="190" t="inlineStr">
        <is>
          <t>『転記』シートより、プルダウンを選択（はい/いいえ）</t>
        </is>
      </c>
      <c r="E116" s="159" t="n"/>
      <c r="F116" s="140" t="n"/>
      <c r="G116" s="462" t="n"/>
      <c r="H116" s="462" t="n"/>
      <c r="I116" s="462" t="n"/>
      <c r="J116" s="462" t="n"/>
      <c r="K116" s="462" t="n"/>
      <c r="L116" s="462" t="n"/>
      <c r="M116" s="462" t="n"/>
      <c r="N116" s="462" t="n"/>
      <c r="O116" s="462" t="n"/>
      <c r="P116" s="462" t="n"/>
      <c r="Q116" s="462" t="n"/>
      <c r="R116" s="462" t="n"/>
      <c r="S116" s="462" t="n"/>
      <c r="T116" s="462" t="n"/>
      <c r="U116" s="462" t="n"/>
      <c r="V116" s="462" t="n"/>
      <c r="W116" s="462" t="n"/>
      <c r="X116" s="462" t="n"/>
      <c r="Y116" s="462" t="n"/>
      <c r="Z116" s="462" t="n"/>
    </row>
    <row r="117" ht="25.5" customHeight="1" s="477">
      <c r="A117" s="69" t="n"/>
      <c r="B117" s="214" t="inlineStr">
        <is>
          <t>くるみん認定</t>
        </is>
      </c>
      <c r="C117" s="215" t="n"/>
      <c r="D117" s="190" t="inlineStr">
        <is>
          <t>『転記』シートより、プルダウンを選択（はい/いいえ）</t>
        </is>
      </c>
      <c r="E117" s="159" t="n"/>
      <c r="F117" s="140" t="n"/>
      <c r="G117" s="462" t="n"/>
      <c r="H117" s="462" t="n"/>
      <c r="I117" s="462" t="n"/>
      <c r="J117" s="462" t="n"/>
      <c r="K117" s="462" t="n"/>
      <c r="L117" s="462" t="n"/>
      <c r="M117" s="462" t="n"/>
      <c r="N117" s="462" t="n"/>
      <c r="O117" s="462" t="n"/>
      <c r="P117" s="462" t="n"/>
      <c r="Q117" s="462" t="n"/>
      <c r="R117" s="462" t="n"/>
      <c r="S117" s="462" t="n"/>
      <c r="T117" s="462" t="n"/>
      <c r="U117" s="462" t="n"/>
      <c r="V117" s="462" t="n"/>
      <c r="W117" s="462" t="n"/>
      <c r="X117" s="462" t="n"/>
      <c r="Y117" s="462" t="n"/>
      <c r="Z117" s="462" t="n"/>
    </row>
    <row r="118">
      <c r="A118" s="200" t="n"/>
      <c r="B118" s="162" t="inlineStr">
        <is>
          <t>「省力化ナビ」による加点について</t>
        </is>
      </c>
      <c r="C118" s="216" t="n"/>
      <c r="D118" s="190" t="n"/>
      <c r="E118" s="159" t="n"/>
      <c r="F118" s="140" t="n"/>
      <c r="G118" s="462" t="n"/>
      <c r="H118" s="462" t="n"/>
      <c r="I118" s="462" t="n"/>
      <c r="J118" s="462" t="n"/>
      <c r="K118" s="462" t="n"/>
      <c r="L118" s="462" t="n"/>
      <c r="M118" s="462" t="n"/>
      <c r="N118" s="462" t="n"/>
      <c r="O118" s="462" t="n"/>
      <c r="P118" s="462" t="n"/>
      <c r="Q118" s="462" t="n"/>
      <c r="R118" s="462" t="n"/>
      <c r="S118" s="462" t="n"/>
      <c r="T118" s="462" t="n"/>
      <c r="U118" s="462" t="n"/>
      <c r="V118" s="462" t="n"/>
      <c r="W118" s="462" t="n"/>
      <c r="X118" s="462" t="n"/>
      <c r="Y118" s="462" t="n"/>
      <c r="Z118" s="462" t="n"/>
    </row>
    <row r="119">
      <c r="A119" s="69" t="n"/>
      <c r="B119" s="124" t="n"/>
      <c r="F119" s="69" t="n"/>
    </row>
    <row r="120" ht="6" customHeight="1" s="477">
      <c r="A120" s="69" t="n"/>
      <c r="B120" s="141" t="inlineStr">
        <is>
          <t>『  次へ  』</t>
        </is>
      </c>
      <c r="C120" s="142" t="inlineStr">
        <is>
          <t>をクリック</t>
        </is>
      </c>
      <c r="D120" s="73" t="n"/>
      <c r="E120" s="73" t="n"/>
      <c r="F120" s="69" t="n"/>
    </row>
    <row r="121">
      <c r="A121" s="69" t="n"/>
      <c r="B121" s="72" t="n"/>
      <c r="C121" s="73" t="n"/>
      <c r="D121" s="69" t="n"/>
      <c r="E121" s="73" t="n"/>
      <c r="F121" s="69" t="n"/>
      <c r="G121" s="69" t="n"/>
      <c r="H121" s="462" t="n"/>
      <c r="I121" s="462" t="n"/>
      <c r="J121" s="462" t="n"/>
      <c r="K121" s="462" t="n"/>
      <c r="L121" s="462" t="n"/>
      <c r="M121" s="462" t="n"/>
      <c r="N121" s="462" t="n"/>
      <c r="O121" s="462" t="n"/>
      <c r="P121" s="462" t="n"/>
      <c r="Q121" s="462" t="n"/>
      <c r="R121" s="462" t="n"/>
      <c r="S121" s="462" t="n"/>
      <c r="T121" s="462" t="n"/>
      <c r="U121" s="462" t="n"/>
      <c r="V121" s="462" t="n"/>
      <c r="W121" s="462" t="n"/>
      <c r="X121" s="462" t="n"/>
      <c r="Y121" s="462" t="n"/>
      <c r="Z121" s="462" t="n"/>
    </row>
    <row r="122" ht="28.5" customHeight="1" s="477">
      <c r="A122" s="69" t="n"/>
      <c r="B122" s="497" t="inlineStr">
        <is>
          <t>SECURITY ACTION照合</t>
        </is>
      </c>
      <c r="F122" s="69" t="n"/>
      <c r="G122" s="462" t="n"/>
      <c r="H122" s="462" t="n"/>
      <c r="I122" s="462" t="n"/>
      <c r="J122" s="462" t="n"/>
      <c r="K122" s="462" t="n"/>
      <c r="L122" s="462" t="n"/>
      <c r="M122" s="462" t="n"/>
      <c r="N122" s="462" t="n"/>
      <c r="O122" s="462" t="n"/>
      <c r="P122" s="462" t="n"/>
      <c r="Q122" s="462" t="n"/>
      <c r="R122" s="462" t="n"/>
      <c r="S122" s="462" t="n"/>
      <c r="T122" s="462" t="n"/>
      <c r="U122" s="462" t="n"/>
      <c r="V122" s="462" t="n"/>
      <c r="W122" s="462" t="n"/>
      <c r="X122" s="462" t="n"/>
      <c r="Y122" s="462" t="n"/>
      <c r="Z122" s="462" t="n"/>
    </row>
    <row r="123" ht="9" customHeight="1" s="477">
      <c r="A123" s="69" t="n"/>
      <c r="B123" s="72" t="n"/>
      <c r="C123" s="73" t="n"/>
      <c r="D123" s="69" t="n"/>
      <c r="E123" s="73" t="n"/>
      <c r="F123" s="69" t="n"/>
      <c r="G123" s="462" t="n"/>
      <c r="H123" s="462" t="n"/>
      <c r="I123" s="462" t="n"/>
      <c r="J123" s="462" t="n"/>
      <c r="K123" s="462" t="n"/>
      <c r="L123" s="462" t="n"/>
      <c r="M123" s="462" t="n"/>
      <c r="N123" s="462" t="n"/>
      <c r="O123" s="462" t="n"/>
      <c r="P123" s="462" t="n"/>
      <c r="Q123" s="462" t="n"/>
      <c r="R123" s="462" t="n"/>
      <c r="S123" s="462" t="n"/>
      <c r="T123" s="462" t="n"/>
      <c r="U123" s="462" t="n"/>
      <c r="V123" s="462" t="n"/>
      <c r="W123" s="462" t="n"/>
      <c r="X123" s="462" t="n"/>
      <c r="Y123" s="462" t="n"/>
      <c r="Z123" s="462" t="n"/>
    </row>
    <row r="124" ht="25.5" customHeight="1" s="477">
      <c r="A124" s="69" t="n"/>
      <c r="B124" s="230" t="inlineStr">
        <is>
          <t>SECURITY ACTION自己宣言ID</t>
        </is>
      </c>
      <c r="C124" s="205">
        <f>'転記'!B61</f>
        <v/>
      </c>
      <c r="D124" s="217" t="inlineStr">
        <is>
          <t>自己宣言ID（5から始まる11桁）であることを確認
※2026年3月以前登録の場合は4から始まる11桁（1次公募までは使用可能）</t>
        </is>
      </c>
      <c r="E124" s="159" t="n"/>
      <c r="F124" s="140" t="n"/>
      <c r="G124" s="462" t="n"/>
      <c r="H124" s="462" t="n"/>
      <c r="I124" s="462" t="n"/>
      <c r="J124" s="462" t="n"/>
      <c r="K124" s="462" t="n"/>
      <c r="L124" s="462" t="n"/>
      <c r="M124" s="462" t="n"/>
      <c r="N124" s="462" t="n"/>
      <c r="O124" s="462" t="n"/>
      <c r="P124" s="462" t="n"/>
      <c r="Q124" s="462" t="n"/>
      <c r="R124" s="462" t="n"/>
      <c r="S124" s="462" t="n"/>
      <c r="T124" s="462" t="n"/>
      <c r="U124" s="462" t="n"/>
      <c r="V124" s="462" t="n"/>
      <c r="W124" s="462" t="n"/>
      <c r="X124" s="462" t="n"/>
      <c r="Y124" s="462" t="n"/>
      <c r="Z124" s="462" t="n"/>
    </row>
    <row r="125">
      <c r="A125" s="69" t="n"/>
      <c r="B125" s="72" t="n"/>
      <c r="C125" s="73" t="n"/>
      <c r="D125" s="69" t="n"/>
      <c r="E125" s="73" t="n"/>
      <c r="F125" s="69" t="n"/>
    </row>
    <row r="126">
      <c r="A126" s="69" t="n"/>
      <c r="B126" s="521" t="inlineStr">
        <is>
          <t>『  次へ  』</t>
        </is>
      </c>
      <c r="F126" s="69" t="n"/>
    </row>
    <row r="127" ht="6" customHeight="1" s="477">
      <c r="A127" s="69" t="n"/>
      <c r="B127" s="72" t="n"/>
      <c r="C127" s="73" t="n"/>
      <c r="D127" s="69" t="n"/>
      <c r="E127" s="73" t="n"/>
      <c r="F127" s="69" t="n"/>
      <c r="G127" s="69" t="n"/>
      <c r="H127" s="462" t="n"/>
      <c r="I127" s="462" t="n"/>
      <c r="J127" s="462" t="n"/>
      <c r="K127" s="462" t="n"/>
      <c r="L127" s="462" t="n"/>
      <c r="M127" s="462" t="n"/>
      <c r="N127" s="462" t="n"/>
      <c r="O127" s="462" t="n"/>
      <c r="P127" s="462" t="n"/>
      <c r="Q127" s="462" t="n"/>
      <c r="R127" s="462" t="n"/>
      <c r="S127" s="462" t="n"/>
      <c r="T127" s="462" t="n"/>
      <c r="U127" s="462" t="n"/>
      <c r="V127" s="462" t="n"/>
      <c r="W127" s="462" t="n"/>
      <c r="X127" s="462" t="n"/>
      <c r="Y127" s="462" t="n"/>
      <c r="Z127" s="462" t="n"/>
    </row>
    <row r="128">
      <c r="A128" s="69" t="n"/>
      <c r="B128" s="497" t="inlineStr">
        <is>
          <t>IT戦略ナビwithの実施有無の確認</t>
        </is>
      </c>
      <c r="F128" s="69" t="n"/>
      <c r="G128" s="462" t="n"/>
      <c r="H128" s="462" t="n"/>
      <c r="I128" s="462" t="n"/>
      <c r="J128" s="462" t="n"/>
      <c r="K128" s="462" t="n"/>
      <c r="L128" s="462" t="n"/>
      <c r="M128" s="462" t="n"/>
      <c r="N128" s="462" t="n"/>
      <c r="O128" s="462" t="n"/>
      <c r="P128" s="462" t="n"/>
      <c r="Q128" s="462" t="n"/>
      <c r="R128" s="462" t="n"/>
      <c r="S128" s="462" t="n"/>
      <c r="T128" s="462" t="n"/>
      <c r="U128" s="462" t="n"/>
      <c r="V128" s="462" t="n"/>
      <c r="W128" s="462" t="n"/>
      <c r="X128" s="462" t="n"/>
      <c r="Y128" s="462" t="n"/>
      <c r="Z128" s="462" t="n"/>
    </row>
    <row r="129" ht="9" customHeight="1" s="477">
      <c r="A129" s="69" t="n"/>
      <c r="B129" s="72" t="n"/>
      <c r="C129" s="73" t="n"/>
      <c r="D129" s="69" t="n"/>
      <c r="E129" s="73" t="n"/>
      <c r="F129" s="69" t="n"/>
      <c r="G129" s="462" t="n"/>
      <c r="H129" s="462" t="n"/>
      <c r="I129" s="462" t="n"/>
      <c r="J129" s="462" t="n"/>
      <c r="K129" s="462" t="n"/>
      <c r="L129" s="462" t="n"/>
      <c r="M129" s="462" t="n"/>
      <c r="N129" s="462" t="n"/>
      <c r="O129" s="462" t="n"/>
      <c r="P129" s="462" t="n"/>
      <c r="Q129" s="462" t="n"/>
      <c r="R129" s="462" t="n"/>
      <c r="S129" s="462" t="n"/>
      <c r="T129" s="462" t="n"/>
      <c r="U129" s="462" t="n"/>
      <c r="V129" s="462" t="n"/>
      <c r="W129" s="462" t="n"/>
      <c r="X129" s="462" t="n"/>
      <c r="Y129" s="462" t="n"/>
      <c r="Z129" s="462" t="n"/>
    </row>
    <row r="130" ht="25.5" customHeight="1" s="477">
      <c r="A130" s="69" t="n"/>
      <c r="B130" s="218" t="inlineStr">
        <is>
          <t>IT戦略ナビwithの実施有無
（加点）</t>
        </is>
      </c>
      <c r="C130" s="219" t="n"/>
      <c r="D130" s="253" t="n"/>
      <c r="E130" s="73" t="n"/>
      <c r="F130" s="140" t="n"/>
      <c r="G130" s="462" t="n"/>
      <c r="H130" s="462" t="n"/>
      <c r="I130" s="462" t="n"/>
      <c r="J130" s="462" t="n"/>
      <c r="K130" s="462" t="n"/>
      <c r="L130" s="462" t="n"/>
      <c r="M130" s="462" t="n"/>
      <c r="N130" s="462" t="n"/>
      <c r="O130" s="462" t="n"/>
      <c r="P130" s="462" t="n"/>
      <c r="Q130" s="462" t="n"/>
      <c r="R130" s="462" t="n"/>
      <c r="S130" s="462" t="n"/>
      <c r="T130" s="462" t="n"/>
      <c r="U130" s="462" t="n"/>
      <c r="V130" s="462" t="n"/>
      <c r="W130" s="462" t="n"/>
      <c r="X130" s="462" t="n"/>
      <c r="Y130" s="462" t="n"/>
      <c r="Z130" s="462" t="n"/>
    </row>
    <row r="131">
      <c r="A131" s="221" t="n"/>
      <c r="B131" s="222" t="inlineStr">
        <is>
          <t>ファイル添付</t>
        </is>
      </c>
      <c r="C131" s="253" t="inlineStr">
        <is>
          <t>※添付資料のアドレスとgBizIDプライムの一致を確認
　ファイル名に空白（スペース）が入っていないか確認</t>
        </is>
      </c>
      <c r="D131" s="253" t="n"/>
      <c r="E131" s="223" t="inlineStr">
        <is>
          <t>資料リンクを貼る</t>
        </is>
      </c>
      <c r="F131" s="140" t="n"/>
      <c r="G131" s="140" t="n"/>
      <c r="H131" s="462" t="n"/>
      <c r="I131" s="462" t="n"/>
      <c r="J131" s="462" t="n"/>
      <c r="K131" s="462" t="n"/>
      <c r="L131" s="462" t="n"/>
      <c r="M131" s="462" t="n"/>
      <c r="N131" s="462" t="n"/>
      <c r="O131" s="462" t="n"/>
      <c r="P131" s="462" t="n"/>
      <c r="Q131" s="462" t="n"/>
      <c r="R131" s="462" t="n"/>
      <c r="S131" s="462" t="n"/>
      <c r="T131" s="462" t="n"/>
      <c r="U131" s="462" t="n"/>
      <c r="V131" s="462" t="n"/>
      <c r="W131" s="462" t="n"/>
      <c r="X131" s="462" t="n"/>
      <c r="Y131" s="462" t="n"/>
      <c r="Z131" s="462" t="n"/>
    </row>
    <row r="132">
      <c r="A132" s="69" t="n"/>
      <c r="B132" s="72" t="n"/>
      <c r="F132" s="69" t="n"/>
    </row>
    <row r="133" ht="6" customHeight="1" s="477">
      <c r="A133" s="69" t="n"/>
      <c r="B133" s="141" t="inlineStr">
        <is>
          <t>『  次へ  』</t>
        </is>
      </c>
      <c r="C133" s="142" t="inlineStr">
        <is>
          <t>をクリック</t>
        </is>
      </c>
      <c r="D133" s="73" t="n"/>
      <c r="E133" s="73" t="n"/>
      <c r="F133" s="69" t="n"/>
    </row>
    <row r="134">
      <c r="A134" s="69" t="n"/>
      <c r="B134" s="72" t="n"/>
      <c r="C134" s="73" t="n"/>
      <c r="D134" s="69" t="n"/>
      <c r="E134" s="73" t="n"/>
      <c r="F134" s="69" t="n"/>
      <c r="G134" s="69" t="n"/>
      <c r="H134" s="462" t="n"/>
      <c r="I134" s="462" t="n"/>
      <c r="J134" s="462" t="n"/>
      <c r="K134" s="462" t="n"/>
      <c r="L134" s="462" t="n"/>
      <c r="M134" s="462" t="n"/>
      <c r="N134" s="462" t="n"/>
      <c r="O134" s="462" t="n"/>
      <c r="P134" s="462" t="n"/>
      <c r="Q134" s="462" t="n"/>
      <c r="R134" s="462" t="n"/>
      <c r="S134" s="462" t="n"/>
      <c r="T134" s="462" t="n"/>
      <c r="U134" s="462" t="n"/>
      <c r="V134" s="462" t="n"/>
      <c r="W134" s="462" t="n"/>
      <c r="X134" s="462" t="n"/>
      <c r="Y134" s="462" t="n"/>
      <c r="Z134" s="462" t="n"/>
    </row>
    <row r="135">
      <c r="A135" s="69" t="n"/>
      <c r="B135" s="497" t="inlineStr">
        <is>
          <t>申請要件に関する確認</t>
        </is>
      </c>
      <c r="F135" s="69" t="n"/>
      <c r="G135" s="462" t="n"/>
      <c r="H135" s="462" t="n"/>
      <c r="I135" s="462" t="n"/>
      <c r="J135" s="462" t="n"/>
      <c r="K135" s="462" t="n"/>
      <c r="L135" s="462" t="n"/>
      <c r="M135" s="462" t="n"/>
      <c r="N135" s="462" t="n"/>
      <c r="O135" s="462" t="n"/>
      <c r="P135" s="462" t="n"/>
      <c r="Q135" s="462" t="n"/>
      <c r="R135" s="462" t="n"/>
      <c r="S135" s="462" t="n"/>
      <c r="T135" s="462" t="n"/>
      <c r="U135" s="462" t="n"/>
      <c r="V135" s="462" t="n"/>
      <c r="W135" s="462" t="n"/>
      <c r="X135" s="462" t="n"/>
      <c r="Y135" s="462" t="n"/>
      <c r="Z135" s="462" t="n"/>
    </row>
    <row r="136">
      <c r="A136" s="69" t="n"/>
      <c r="B136" s="72" t="n"/>
      <c r="C136" s="73" t="n"/>
      <c r="D136" s="69" t="n"/>
      <c r="E136" s="73" t="n"/>
      <c r="F136" s="69" t="n"/>
      <c r="G136" s="462" t="n"/>
      <c r="H136" s="462" t="n"/>
      <c r="I136" s="462" t="n"/>
      <c r="J136" s="462" t="n"/>
      <c r="K136" s="462" t="n"/>
      <c r="L136" s="462" t="n"/>
      <c r="M136" s="462" t="n"/>
      <c r="N136" s="462" t="n"/>
      <c r="O136" s="462" t="n"/>
      <c r="P136" s="462" t="n"/>
      <c r="Q136" s="462" t="n"/>
      <c r="R136" s="462" t="n"/>
      <c r="S136" s="462" t="n"/>
      <c r="T136" s="462" t="n"/>
      <c r="U136" s="462" t="n"/>
      <c r="V136" s="462" t="n"/>
      <c r="W136" s="462" t="n"/>
      <c r="X136" s="462" t="n"/>
      <c r="Y136" s="462" t="n"/>
      <c r="Z136" s="462" t="n"/>
    </row>
    <row r="137">
      <c r="A137" s="69" t="n"/>
      <c r="B137" s="162" t="inlineStr">
        <is>
          <t>行っている事業に該当するものすべて選択</t>
        </is>
      </c>
      <c r="C137" s="499" t="n"/>
      <c r="D137" s="225" t="inlineStr">
        <is>
          <t>※複数選択</t>
        </is>
      </c>
      <c r="E137" s="159" t="n"/>
      <c r="F137" s="140" t="n"/>
      <c r="G137" s="462" t="n"/>
      <c r="H137" s="462" t="n"/>
      <c r="I137" s="462" t="n"/>
      <c r="J137" s="462" t="n"/>
      <c r="K137" s="462" t="n"/>
      <c r="L137" s="462" t="n"/>
      <c r="M137" s="462" t="n"/>
      <c r="N137" s="462" t="n"/>
      <c r="O137" s="462" t="n"/>
      <c r="P137" s="462" t="n"/>
      <c r="Q137" s="462" t="n"/>
      <c r="R137" s="462" t="n"/>
      <c r="S137" s="462" t="n"/>
      <c r="T137" s="462" t="n"/>
      <c r="U137" s="462" t="n"/>
      <c r="V137" s="462" t="n"/>
      <c r="W137" s="462" t="n"/>
      <c r="X137" s="462" t="n"/>
      <c r="Y137" s="462" t="n"/>
      <c r="Z137" s="462" t="n"/>
    </row>
    <row r="138">
      <c r="A138" s="69" t="n"/>
      <c r="B138" s="72" t="n"/>
      <c r="C138" s="73" t="n"/>
      <c r="D138" s="69" t="n"/>
      <c r="E138" s="73" t="n"/>
      <c r="F138" s="69" t="n"/>
    </row>
    <row r="139">
      <c r="A139" s="69" t="n"/>
      <c r="B139" s="141" t="inlineStr">
        <is>
          <t>『  次へ  』</t>
        </is>
      </c>
      <c r="C139" s="142" t="inlineStr">
        <is>
          <t>をクリック</t>
        </is>
      </c>
      <c r="D139" s="522" t="n"/>
      <c r="E139" s="73" t="n"/>
      <c r="F139" s="69" t="n"/>
    </row>
    <row r="140">
      <c r="A140" s="69" t="n"/>
      <c r="B140" s="72" t="n"/>
      <c r="C140" s="73" t="n"/>
      <c r="D140" s="523" t="n"/>
      <c r="E140" s="73" t="n"/>
      <c r="F140" s="69" t="n"/>
      <c r="G140" s="69" t="n"/>
      <c r="H140" s="462" t="n"/>
      <c r="I140" s="462" t="n"/>
      <c r="J140" s="462" t="n"/>
      <c r="K140" s="462" t="n"/>
      <c r="L140" s="462" t="n"/>
      <c r="M140" s="462" t="n"/>
      <c r="N140" s="462" t="n"/>
      <c r="O140" s="462" t="n"/>
      <c r="P140" s="462" t="n"/>
      <c r="Q140" s="462" t="n"/>
      <c r="R140" s="462" t="n"/>
      <c r="S140" s="462" t="n"/>
      <c r="T140" s="462" t="n"/>
      <c r="U140" s="462" t="n"/>
      <c r="V140" s="462" t="n"/>
      <c r="W140" s="462" t="n"/>
      <c r="X140" s="462" t="n"/>
      <c r="Y140" s="462" t="n"/>
      <c r="Z140" s="462" t="n"/>
    </row>
    <row r="141">
      <c r="A141" s="69" t="n"/>
      <c r="B141" s="497" t="inlineStr">
        <is>
          <t>財務情報入力</t>
        </is>
      </c>
      <c r="D141" s="523" t="n"/>
      <c r="F141" s="69" t="n"/>
      <c r="G141" s="462" t="n"/>
      <c r="H141" s="462" t="n"/>
      <c r="I141" s="462" t="n"/>
      <c r="J141" s="462" t="n"/>
      <c r="K141" s="462" t="n"/>
      <c r="L141" s="462" t="n"/>
      <c r="M141" s="462" t="n"/>
      <c r="N141" s="462" t="n"/>
      <c r="O141" s="462" t="n"/>
      <c r="P141" s="462" t="n"/>
      <c r="Q141" s="462" t="n"/>
      <c r="R141" s="462" t="n"/>
      <c r="S141" s="462" t="n"/>
      <c r="T141" s="462" t="n"/>
      <c r="U141" s="462" t="n"/>
      <c r="V141" s="462" t="n"/>
      <c r="W141" s="462" t="n"/>
      <c r="X141" s="462" t="n"/>
      <c r="Y141" s="462" t="n"/>
      <c r="Z141" s="462" t="n"/>
    </row>
    <row r="142">
      <c r="A142" s="69" t="n"/>
      <c r="B142" s="72" t="n"/>
      <c r="C142" s="73" t="n"/>
      <c r="D142" s="523" t="n"/>
      <c r="E142" s="73" t="n"/>
      <c r="F142" s="69" t="n"/>
      <c r="G142" s="462" t="n"/>
      <c r="H142" s="462" t="n"/>
      <c r="I142" s="462" t="n"/>
      <c r="J142" s="462" t="n"/>
      <c r="K142" s="462" t="n"/>
      <c r="L142" s="462" t="n"/>
      <c r="M142" s="462" t="n"/>
      <c r="N142" s="462" t="n"/>
      <c r="O142" s="462" t="n"/>
      <c r="P142" s="462" t="n"/>
      <c r="Q142" s="462" t="n"/>
      <c r="R142" s="462" t="n"/>
      <c r="S142" s="462" t="n"/>
      <c r="T142" s="462" t="n"/>
      <c r="U142" s="462" t="n"/>
      <c r="V142" s="462" t="n"/>
      <c r="W142" s="462" t="n"/>
      <c r="X142" s="462" t="n"/>
      <c r="Y142" s="462" t="n"/>
      <c r="Z142" s="462" t="n"/>
    </row>
    <row r="143">
      <c r="A143" s="69" t="n"/>
      <c r="B143" s="230" t="inlineStr">
        <is>
          <t>従業員数：正規雇用</t>
        </is>
      </c>
      <c r="C143" s="205">
        <f>'転記'!B64</f>
        <v/>
      </c>
      <c r="D143" s="523" t="n"/>
      <c r="E143" s="159" t="n"/>
      <c r="F143" s="140" t="n"/>
      <c r="G143" s="462" t="n"/>
      <c r="H143" s="462" t="n"/>
      <c r="I143" s="462" t="n"/>
      <c r="J143" s="462" t="n"/>
      <c r="K143" s="462" t="n"/>
      <c r="L143" s="462" t="n"/>
      <c r="M143" s="462" t="n"/>
      <c r="N143" s="462" t="n"/>
      <c r="O143" s="462" t="n"/>
      <c r="P143" s="462" t="n"/>
      <c r="Q143" s="462" t="n"/>
      <c r="R143" s="462" t="n"/>
      <c r="S143" s="462" t="n"/>
      <c r="T143" s="462" t="n"/>
      <c r="U143" s="462" t="n"/>
      <c r="V143" s="462" t="n"/>
      <c r="W143" s="462" t="n"/>
      <c r="X143" s="462" t="n"/>
      <c r="Y143" s="462" t="n"/>
      <c r="Z143" s="462" t="n"/>
    </row>
    <row r="144">
      <c r="A144" s="69" t="n"/>
      <c r="B144" s="230" t="inlineStr">
        <is>
          <t>従業員数：契約社員</t>
        </is>
      </c>
      <c r="C144" s="205">
        <f>'転記'!B65</f>
        <v/>
      </c>
      <c r="D144" s="523" t="n"/>
      <c r="E144" s="159" t="n"/>
      <c r="F144" s="140" t="n"/>
      <c r="G144" s="462" t="n"/>
      <c r="H144" s="462" t="n"/>
      <c r="I144" s="462" t="n"/>
      <c r="J144" s="462" t="n"/>
      <c r="K144" s="462" t="n"/>
      <c r="L144" s="462" t="n"/>
      <c r="M144" s="462" t="n"/>
      <c r="N144" s="462" t="n"/>
      <c r="O144" s="462" t="n"/>
      <c r="P144" s="462" t="n"/>
      <c r="Q144" s="462" t="n"/>
      <c r="R144" s="462" t="n"/>
      <c r="S144" s="462" t="n"/>
      <c r="T144" s="462" t="n"/>
      <c r="U144" s="462" t="n"/>
      <c r="V144" s="462" t="n"/>
      <c r="W144" s="462" t="n"/>
      <c r="X144" s="462" t="n"/>
      <c r="Y144" s="462" t="n"/>
      <c r="Z144" s="462" t="n"/>
    </row>
    <row r="145">
      <c r="A145" s="69" t="n"/>
      <c r="B145" s="230" t="inlineStr">
        <is>
          <t>従業員数：パートアルバイト</t>
        </is>
      </c>
      <c r="C145" s="205">
        <f>'転記'!B66</f>
        <v/>
      </c>
      <c r="D145" s="524" t="n"/>
      <c r="E145" s="159" t="n"/>
      <c r="F145" s="140" t="n"/>
      <c r="G145" s="462" t="n"/>
      <c r="H145" s="462" t="n"/>
      <c r="I145" s="462" t="n"/>
      <c r="J145" s="462" t="n"/>
      <c r="K145" s="462" t="n"/>
      <c r="L145" s="462" t="n"/>
      <c r="M145" s="462" t="n"/>
      <c r="N145" s="462" t="n"/>
      <c r="O145" s="462" t="n"/>
      <c r="P145" s="462" t="n"/>
      <c r="Q145" s="462" t="n"/>
      <c r="R145" s="462" t="n"/>
      <c r="S145" s="462" t="n"/>
      <c r="T145" s="462" t="n"/>
      <c r="U145" s="462" t="n"/>
      <c r="V145" s="462" t="n"/>
      <c r="W145" s="462" t="n"/>
      <c r="X145" s="462" t="n"/>
      <c r="Y145" s="462" t="n"/>
      <c r="Z145" s="462" t="n"/>
    </row>
    <row r="146" ht="9" customHeight="1" s="477">
      <c r="A146" s="69" t="n"/>
      <c r="B146" s="162" t="inlineStr">
        <is>
          <t>代表者・役員数</t>
        </is>
      </c>
      <c r="C146" s="227" t="n"/>
      <c r="D146" s="228" t="inlineStr">
        <is>
          <t>履歴事項全部証明書より前期決算期末の人数を確認し入力</t>
        </is>
      </c>
      <c r="E146" s="191" t="n"/>
      <c r="F146" s="140" t="n"/>
      <c r="G146" s="462" t="n"/>
      <c r="H146" s="462" t="n"/>
      <c r="I146" s="462" t="n"/>
      <c r="J146" s="462" t="n"/>
      <c r="K146" s="462" t="n"/>
      <c r="L146" s="462" t="n"/>
      <c r="M146" s="462" t="n"/>
      <c r="N146" s="462" t="n"/>
      <c r="O146" s="462" t="n"/>
      <c r="P146" s="462" t="n"/>
      <c r="Q146" s="462" t="n"/>
      <c r="R146" s="462" t="n"/>
      <c r="S146" s="462" t="n"/>
      <c r="T146" s="462" t="n"/>
      <c r="U146" s="462" t="n"/>
      <c r="V146" s="462" t="n"/>
      <c r="W146" s="462" t="n"/>
      <c r="X146" s="462" t="n"/>
      <c r="Y146" s="462" t="n"/>
      <c r="Z146" s="462" t="n"/>
    </row>
    <row r="147" ht="25.5" customHeight="1" s="477">
      <c r="A147" s="69" t="n"/>
      <c r="B147" s="230" t="inlineStr">
        <is>
          <t>年間の平均労働時間</t>
        </is>
      </c>
      <c r="C147" s="229">
        <f>'転記'!B67</f>
        <v/>
      </c>
      <c r="D147" s="190" t="inlineStr">
        <is>
          <t>※年間の平均就労時間
例　1日８時間 土日休み残業なし：2080時間
　　1日4時間✖️週3~4日：650時間前後</t>
        </is>
      </c>
      <c r="E147" s="159" t="n"/>
      <c r="F147" s="140" t="n"/>
      <c r="G147" s="462" t="n"/>
      <c r="H147" s="462" t="n"/>
      <c r="I147" s="462" t="n"/>
      <c r="J147" s="462" t="n"/>
      <c r="K147" s="462" t="n"/>
      <c r="L147" s="462" t="n"/>
      <c r="M147" s="462" t="n"/>
      <c r="N147" s="462" t="n"/>
      <c r="O147" s="462" t="n"/>
      <c r="P147" s="462" t="n"/>
      <c r="Q147" s="462" t="n"/>
      <c r="R147" s="462" t="n"/>
      <c r="S147" s="462" t="n"/>
      <c r="T147" s="462" t="n"/>
      <c r="U147" s="462" t="n"/>
      <c r="V147" s="462" t="n"/>
      <c r="W147" s="462" t="n"/>
      <c r="X147" s="462" t="n"/>
      <c r="Y147" s="462" t="n"/>
      <c r="Z147" s="462" t="n"/>
    </row>
    <row r="148">
      <c r="A148" s="69" t="n"/>
      <c r="B148" s="230" t="inlineStr">
        <is>
          <t>売上高</t>
        </is>
      </c>
      <c r="C148" s="231">
        <f>'給与支給総額計算'!B10</f>
        <v/>
      </c>
      <c r="D148" s="500" t="inlineStr">
        <is>
          <t>『生産性指標』シートへ記入してください。</t>
        </is>
      </c>
      <c r="E148" s="191" t="n"/>
      <c r="F148" s="140" t="n"/>
      <c r="G148" s="462" t="n"/>
      <c r="H148" s="462" t="n"/>
      <c r="I148" s="462" t="n"/>
      <c r="J148" s="462" t="n"/>
      <c r="K148" s="462" t="n"/>
      <c r="L148" s="462" t="n"/>
      <c r="M148" s="462" t="n"/>
      <c r="N148" s="462" t="n"/>
      <c r="O148" s="462" t="n"/>
      <c r="P148" s="462" t="n"/>
      <c r="Q148" s="462" t="n"/>
      <c r="R148" s="462" t="n"/>
      <c r="S148" s="462" t="n"/>
      <c r="T148" s="462" t="n"/>
      <c r="U148" s="462" t="n"/>
      <c r="V148" s="462" t="n"/>
      <c r="W148" s="462" t="n"/>
      <c r="X148" s="462" t="n"/>
      <c r="Y148" s="462" t="n"/>
      <c r="Z148" s="462" t="n"/>
    </row>
    <row r="149">
      <c r="A149" s="69" t="n"/>
      <c r="B149" s="230" t="inlineStr">
        <is>
          <t>粗利益</t>
        </is>
      </c>
      <c r="C149" s="231">
        <f>'給与支給総額計算'!B11</f>
        <v/>
      </c>
      <c r="D149" s="501" t="n"/>
      <c r="E149" s="159" t="n"/>
      <c r="F149" s="140" t="n"/>
      <c r="G149" s="462" t="n"/>
      <c r="H149" s="462" t="n"/>
      <c r="I149" s="462" t="n"/>
      <c r="J149" s="462" t="n"/>
      <c r="K149" s="462" t="n"/>
      <c r="L149" s="462" t="n"/>
      <c r="M149" s="462" t="n"/>
      <c r="N149" s="462" t="n"/>
      <c r="O149" s="462" t="n"/>
      <c r="P149" s="462" t="n"/>
      <c r="Q149" s="462" t="n"/>
      <c r="R149" s="462" t="n"/>
      <c r="S149" s="462" t="n"/>
      <c r="T149" s="462" t="n"/>
      <c r="U149" s="462" t="n"/>
      <c r="V149" s="462" t="n"/>
      <c r="W149" s="462" t="n"/>
      <c r="X149" s="462" t="n"/>
      <c r="Y149" s="462" t="n"/>
      <c r="Z149" s="462" t="n"/>
    </row>
    <row r="150" ht="6" customHeight="1" s="477">
      <c r="A150" s="69" t="n"/>
      <c r="B150" s="230" t="inlineStr">
        <is>
          <t>営業利益</t>
        </is>
      </c>
      <c r="C150" s="231">
        <f>'給与支給総額計算'!B12</f>
        <v/>
      </c>
      <c r="D150" s="501" t="n"/>
      <c r="E150" s="159" t="n"/>
      <c r="F150" s="140" t="n"/>
      <c r="G150" s="462" t="n"/>
      <c r="H150" s="462" t="n"/>
      <c r="I150" s="462" t="n"/>
      <c r="J150" s="462" t="n"/>
      <c r="K150" s="462" t="n"/>
      <c r="L150" s="462" t="n"/>
      <c r="M150" s="462" t="n"/>
      <c r="N150" s="462" t="n"/>
      <c r="O150" s="462" t="n"/>
      <c r="P150" s="462" t="n"/>
      <c r="Q150" s="462" t="n"/>
      <c r="R150" s="462" t="n"/>
      <c r="S150" s="462" t="n"/>
      <c r="T150" s="462" t="n"/>
      <c r="U150" s="462" t="n"/>
      <c r="V150" s="462" t="n"/>
      <c r="W150" s="462" t="n"/>
      <c r="X150" s="462" t="n"/>
      <c r="Y150" s="462" t="n"/>
      <c r="Z150" s="462" t="n"/>
    </row>
    <row r="151">
      <c r="A151" s="69" t="n"/>
      <c r="B151" s="230" t="inlineStr">
        <is>
          <t>経常利益</t>
        </is>
      </c>
      <c r="C151" s="231">
        <f>'給与支給総額計算'!B13</f>
        <v/>
      </c>
      <c r="D151" s="501" t="n"/>
      <c r="E151" s="159" t="n"/>
      <c r="F151" s="140" t="n"/>
      <c r="G151" s="462" t="n"/>
      <c r="H151" s="462" t="n"/>
      <c r="I151" s="462" t="n"/>
      <c r="J151" s="462" t="n"/>
      <c r="K151" s="462" t="n"/>
      <c r="L151" s="462" t="n"/>
      <c r="M151" s="462" t="n"/>
      <c r="N151" s="462" t="n"/>
      <c r="O151" s="462" t="n"/>
      <c r="P151" s="462" t="n"/>
      <c r="Q151" s="462" t="n"/>
      <c r="R151" s="462" t="n"/>
      <c r="S151" s="462" t="n"/>
      <c r="T151" s="462" t="n"/>
      <c r="U151" s="462" t="n"/>
      <c r="V151" s="462" t="n"/>
      <c r="W151" s="462" t="n"/>
      <c r="X151" s="462" t="n"/>
      <c r="Y151" s="462" t="n"/>
      <c r="Z151" s="462" t="n"/>
    </row>
    <row r="152">
      <c r="A152" s="69" t="n"/>
      <c r="B152" s="230" t="inlineStr">
        <is>
          <t>減価償却費</t>
        </is>
      </c>
      <c r="C152" s="231">
        <f>'給与支給総額計算'!B14</f>
        <v/>
      </c>
      <c r="D152" s="501" t="n"/>
      <c r="E152" s="159" t="n"/>
      <c r="F152" s="140" t="n"/>
      <c r="G152" s="462" t="n"/>
      <c r="H152" s="462" t="n"/>
      <c r="I152" s="462" t="n"/>
      <c r="J152" s="462" t="n"/>
      <c r="K152" s="462" t="n"/>
      <c r="L152" s="462" t="n"/>
      <c r="M152" s="462" t="n"/>
      <c r="N152" s="462" t="n"/>
      <c r="O152" s="462" t="n"/>
      <c r="P152" s="462" t="n"/>
      <c r="Q152" s="462" t="n"/>
      <c r="R152" s="462" t="n"/>
      <c r="S152" s="462" t="n"/>
      <c r="T152" s="462" t="n"/>
      <c r="U152" s="462" t="n"/>
      <c r="V152" s="462" t="n"/>
      <c r="W152" s="462" t="n"/>
      <c r="X152" s="462" t="n"/>
      <c r="Y152" s="462" t="n"/>
      <c r="Z152" s="462" t="n"/>
    </row>
    <row r="153">
      <c r="A153" s="69" t="n"/>
      <c r="B153" s="230" t="inlineStr">
        <is>
          <t>人件費</t>
        </is>
      </c>
      <c r="C153" s="231">
        <f>'給与支給総額計算'!E11</f>
        <v/>
      </c>
      <c r="D153" s="501" t="n"/>
      <c r="E153" s="159" t="n"/>
      <c r="F153" s="140" t="n"/>
      <c r="G153" s="462" t="n"/>
      <c r="H153" s="462" t="n"/>
      <c r="I153" s="462" t="n"/>
      <c r="J153" s="462" t="n"/>
      <c r="K153" s="462" t="n"/>
      <c r="L153" s="462" t="n"/>
      <c r="M153" s="462" t="n"/>
      <c r="N153" s="462" t="n"/>
      <c r="O153" s="462" t="n"/>
      <c r="P153" s="462" t="n"/>
      <c r="Q153" s="462" t="n"/>
      <c r="R153" s="462" t="n"/>
      <c r="S153" s="462" t="n"/>
      <c r="T153" s="462" t="n"/>
      <c r="U153" s="462" t="n"/>
      <c r="V153" s="462" t="n"/>
      <c r="W153" s="462" t="n"/>
      <c r="X153" s="462" t="n"/>
      <c r="Y153" s="462" t="n"/>
      <c r="Z153" s="462" t="n"/>
    </row>
    <row r="154">
      <c r="A154" s="69" t="n"/>
      <c r="B154" s="230" t="inlineStr">
        <is>
          <t>資本金</t>
        </is>
      </c>
      <c r="C154" s="231">
        <f>C49</f>
        <v/>
      </c>
      <c r="D154" s="502" t="n"/>
      <c r="E154" s="159" t="n"/>
      <c r="F154" s="140" t="n"/>
      <c r="G154" s="462" t="n"/>
      <c r="H154" s="462" t="n"/>
      <c r="I154" s="462" t="n"/>
      <c r="J154" s="462" t="n"/>
      <c r="K154" s="462" t="n"/>
      <c r="L154" s="462" t="n"/>
      <c r="M154" s="462" t="n"/>
      <c r="N154" s="462" t="n"/>
      <c r="O154" s="462" t="n"/>
      <c r="P154" s="462" t="n"/>
      <c r="Q154" s="462" t="n"/>
      <c r="R154" s="462" t="n"/>
      <c r="S154" s="462" t="n"/>
      <c r="T154" s="462" t="n"/>
      <c r="U154" s="462" t="n"/>
      <c r="V154" s="462" t="n"/>
      <c r="W154" s="462" t="n"/>
      <c r="X154" s="462" t="n"/>
      <c r="Y154" s="462" t="n"/>
      <c r="Z154" s="462" t="n"/>
    </row>
    <row r="155">
      <c r="A155" s="69" t="n"/>
      <c r="B155" s="72" t="n"/>
      <c r="C155" s="73" t="n"/>
      <c r="D155" s="69" t="n"/>
      <c r="E155" s="73" t="n"/>
      <c r="F155" s="69" t="n"/>
    </row>
    <row r="156">
      <c r="A156" s="69" t="n"/>
      <c r="B156" s="141" t="inlineStr">
        <is>
          <t>『  次へ  』</t>
        </is>
      </c>
      <c r="C156" s="142" t="inlineStr">
        <is>
          <t>をクリック</t>
        </is>
      </c>
      <c r="D156" s="73" t="n"/>
      <c r="E156" s="73" t="n"/>
      <c r="F156" s="69" t="n"/>
    </row>
    <row r="157">
      <c r="A157" s="69" t="n"/>
      <c r="B157" s="72" t="n"/>
      <c r="C157" s="73" t="n"/>
      <c r="D157" s="69" t="n"/>
      <c r="E157" s="73" t="n"/>
      <c r="F157" s="69" t="n"/>
      <c r="G157" s="69" t="n"/>
      <c r="H157" s="462" t="n"/>
      <c r="I157" s="462" t="n"/>
      <c r="J157" s="462" t="n"/>
      <c r="K157" s="462" t="n"/>
      <c r="L157" s="462" t="n"/>
      <c r="M157" s="462" t="n"/>
      <c r="N157" s="462" t="n"/>
      <c r="O157" s="462" t="n"/>
      <c r="P157" s="462" t="n"/>
      <c r="Q157" s="462" t="n"/>
      <c r="R157" s="462" t="n"/>
      <c r="S157" s="462" t="n"/>
      <c r="T157" s="462" t="n"/>
      <c r="U157" s="462" t="n"/>
      <c r="V157" s="462" t="n"/>
      <c r="W157" s="462" t="n"/>
      <c r="X157" s="462" t="n"/>
      <c r="Y157" s="462" t="n"/>
      <c r="Z157" s="462" t="n"/>
    </row>
    <row r="158" ht="9" customHeight="1" s="477">
      <c r="A158" s="69" t="n"/>
      <c r="B158" s="497" t="inlineStr">
        <is>
          <t>経営状況についての入力</t>
        </is>
      </c>
      <c r="F158" s="69" t="n"/>
      <c r="G158" s="462" t="n"/>
      <c r="H158" s="462" t="n"/>
      <c r="I158" s="462" t="n"/>
      <c r="J158" s="462" t="n"/>
      <c r="K158" s="462" t="n"/>
      <c r="L158" s="462" t="n"/>
      <c r="M158" s="462" t="n"/>
      <c r="N158" s="462" t="n"/>
      <c r="O158" s="462" t="n"/>
      <c r="P158" s="462" t="n"/>
      <c r="Q158" s="462" t="n"/>
      <c r="R158" s="462" t="n"/>
      <c r="S158" s="462" t="n"/>
      <c r="T158" s="462" t="n"/>
      <c r="U158" s="462" t="n"/>
      <c r="V158" s="462" t="n"/>
      <c r="W158" s="462" t="n"/>
      <c r="X158" s="462" t="n"/>
      <c r="Y158" s="462" t="n"/>
      <c r="Z158" s="462" t="n"/>
    </row>
    <row r="159" ht="25.5" customHeight="1" s="477">
      <c r="A159" s="69" t="n"/>
      <c r="B159" s="72" t="n"/>
      <c r="C159" s="73" t="n"/>
      <c r="D159" s="69" t="n"/>
      <c r="E159" s="73" t="n"/>
      <c r="F159" s="69" t="n"/>
      <c r="G159" s="462" t="n"/>
      <c r="H159" s="462" t="n"/>
      <c r="I159" s="462" t="n"/>
      <c r="J159" s="462" t="n"/>
      <c r="K159" s="462" t="n"/>
      <c r="L159" s="462" t="n"/>
      <c r="M159" s="462" t="n"/>
      <c r="N159" s="462" t="n"/>
      <c r="O159" s="462" t="n"/>
      <c r="P159" s="462" t="n"/>
      <c r="Q159" s="462" t="n"/>
      <c r="R159" s="462" t="n"/>
      <c r="S159" s="462" t="n"/>
      <c r="T159" s="462" t="n"/>
      <c r="U159" s="462" t="n"/>
      <c r="V159" s="462" t="n"/>
      <c r="W159" s="462" t="n"/>
      <c r="X159" s="462" t="n"/>
      <c r="Y159" s="462" t="n"/>
      <c r="Z159" s="462" t="n"/>
    </row>
    <row r="160">
      <c r="A160" s="69" t="n"/>
      <c r="B160" s="162" t="inlineStr">
        <is>
          <t>経営意欲</t>
        </is>
      </c>
      <c r="C160" s="235" t="inlineStr">
        <is>
          <t>□事業の拡大に積極的
□事業の維持に注力
□事業の売却・整備・廃業を考えている
□特に意識したことは無い</t>
        </is>
      </c>
      <c r="D160" s="236" t="inlineStr">
        <is>
          <t>基本的に「事業の拡大に積極的」を選択
営業利益がマイナスの場合のみ、「事業の維持に注力」に変更</t>
        </is>
      </c>
      <c r="E160" s="159" t="n"/>
      <c r="F160" s="140" t="n"/>
      <c r="G160" s="462" t="n"/>
      <c r="H160" s="462" t="n"/>
      <c r="I160" s="462" t="n"/>
      <c r="J160" s="462" t="n"/>
      <c r="K160" s="462" t="n"/>
      <c r="L160" s="462" t="n"/>
      <c r="M160" s="462" t="n"/>
      <c r="N160" s="462" t="n"/>
      <c r="O160" s="462" t="n"/>
      <c r="P160" s="462" t="n"/>
      <c r="Q160" s="462" t="n"/>
      <c r="R160" s="462" t="n"/>
      <c r="S160" s="462" t="n"/>
      <c r="T160" s="462" t="n"/>
      <c r="U160" s="462" t="n"/>
      <c r="V160" s="462" t="n"/>
      <c r="W160" s="462" t="n"/>
      <c r="X160" s="462" t="n"/>
      <c r="Y160" s="462" t="n"/>
      <c r="Z160" s="462" t="n"/>
    </row>
    <row r="161">
      <c r="A161" s="69" t="n"/>
      <c r="B161" s="162" t="inlineStr">
        <is>
          <t>セキュリティの状況</t>
        </is>
      </c>
      <c r="C161" s="235" t="n"/>
      <c r="D161" s="236" t="n"/>
      <c r="E161" s="159" t="n"/>
      <c r="F161" s="140" t="n"/>
      <c r="G161" s="462" t="n"/>
      <c r="H161" s="462" t="n"/>
      <c r="I161" s="462" t="n"/>
      <c r="J161" s="462" t="n"/>
      <c r="K161" s="462" t="n"/>
      <c r="L161" s="462" t="n"/>
      <c r="M161" s="462" t="n"/>
      <c r="N161" s="462" t="n"/>
      <c r="O161" s="462" t="n"/>
      <c r="P161" s="462" t="n"/>
      <c r="Q161" s="462" t="n"/>
      <c r="R161" s="462" t="n"/>
      <c r="S161" s="462" t="n"/>
      <c r="T161" s="462" t="n"/>
      <c r="U161" s="462" t="n"/>
      <c r="V161" s="462" t="n"/>
      <c r="W161" s="462" t="n"/>
      <c r="X161" s="462" t="n"/>
      <c r="Y161" s="462" t="n"/>
      <c r="Z161" s="462" t="n"/>
    </row>
    <row r="162" ht="6" customHeight="1" s="477">
      <c r="A162" s="69" t="n"/>
      <c r="B162" s="162" t="inlineStr">
        <is>
          <t>事業をどのように変えていきますか？（将来目標）
最も期待するものに一つチェック</t>
        </is>
      </c>
      <c r="C162" s="237" t="inlineStr">
        <is>
          <t>□事業の拡大
□利益の確保
□顧客の定着
□人材の再配置による営業力や生産力の強化
□従業員の人材育成、経営陣の経営能力の向上
□顧客満足度・利便性やサービスの質の向上による満足度の向上
□従業員の満足度の向上
□その他（フリー記載）
□わからない</t>
        </is>
      </c>
      <c r="D162" s="239" t="inlineStr">
        <is>
          <t>基本的に「事業の拡大」を選択
営業利益がマイナスの場合のみ、「利益の確保」に変更</t>
        </is>
      </c>
      <c r="E162" s="159" t="n"/>
      <c r="F162" s="140" t="n"/>
      <c r="G162" s="462" t="n"/>
      <c r="H162" s="462" t="n"/>
      <c r="I162" s="462" t="n"/>
      <c r="J162" s="462" t="n"/>
      <c r="K162" s="462" t="n"/>
      <c r="L162" s="462" t="n"/>
      <c r="M162" s="462" t="n"/>
      <c r="N162" s="462" t="n"/>
      <c r="O162" s="462" t="n"/>
      <c r="P162" s="462" t="n"/>
      <c r="Q162" s="462" t="n"/>
      <c r="R162" s="462" t="n"/>
      <c r="S162" s="462" t="n"/>
      <c r="T162" s="462" t="n"/>
      <c r="U162" s="462" t="n"/>
      <c r="V162" s="462" t="n"/>
      <c r="W162" s="462" t="n"/>
      <c r="X162" s="462" t="n"/>
      <c r="Y162" s="462" t="n"/>
      <c r="Z162" s="462" t="n"/>
    </row>
    <row r="163">
      <c r="A163" s="69" t="n"/>
      <c r="B163" s="240" t="inlineStr">
        <is>
          <t>インボイスに対するIT投資（会計・受発注・決済・EC分野）状況</t>
        </is>
      </c>
      <c r="C163" s="241" t="inlineStr">
        <is>
          <t>□インボイス未登録であり、交付決定を受けた場合は交付申請日から実績報告日までにインボイス登録を行い、実績報告の際に適格請求書発行事業者の登録通知書を提出することを約束する。【加点を希望する】※
□インボイス未登録であるが、交付決定を受けた場合であっても、実績報告日までにインボイス登録を行う予定はない。【加点を希望しない】
□インボイス登録済みだが、インボイス制度に対応したツールの導入を行っていない。【加点対象外】
□インボイス登録済みであり、インボイス制度に対応したツールの導入を完了している。【加点対象外】</t>
        </is>
      </c>
      <c r="D163" s="242" t="inlineStr">
        <is>
          <t>※申請者様にインボイス対応状況をヒアリングしてください</t>
        </is>
      </c>
      <c r="E163" s="159" t="n"/>
      <c r="F163" s="140" t="n"/>
      <c r="G163" s="462" t="n"/>
      <c r="H163" s="462" t="n"/>
      <c r="I163" s="462" t="n"/>
      <c r="J163" s="462" t="n"/>
      <c r="K163" s="462" t="n"/>
      <c r="L163" s="462" t="n"/>
      <c r="M163" s="462" t="n"/>
      <c r="N163" s="462" t="n"/>
      <c r="O163" s="462" t="n"/>
      <c r="P163" s="462" t="n"/>
      <c r="Q163" s="462" t="n"/>
      <c r="R163" s="462" t="n"/>
      <c r="S163" s="462" t="n"/>
      <c r="T163" s="462" t="n"/>
      <c r="U163" s="462" t="n"/>
      <c r="V163" s="462" t="n"/>
      <c r="W163" s="462" t="n"/>
      <c r="X163" s="462" t="n"/>
      <c r="Y163" s="462" t="n"/>
      <c r="Z163" s="462" t="n"/>
    </row>
    <row r="164" ht="6" customHeight="1" s="477">
      <c r="A164" s="69" t="n"/>
      <c r="B164" s="240" t="inlineStr">
        <is>
          <t>ITツールの導入により電子化する事務の範囲</t>
        </is>
      </c>
      <c r="C164" s="243" t="inlineStr">
        <is>
          <t>□自社の会計業務
□自社の請求書発行業務
□自社の受発注業務
□取引先の受発注業務
□取引先からの請求書受領業務
□自社・取引先間の決済業務</t>
        </is>
      </c>
      <c r="D164" s="244" t="inlineStr">
        <is>
          <t>※ツールによって内容確認
（一例）
【貿易クラウド】
■自社の請求書発行業務■自社の受発注業務■自社・取引先間の決済業務
【Cbox】【クラフトバンク】
■自社の会計業務■自社の請求書発行業務■自社の受発注業務</t>
        </is>
      </c>
      <c r="E164" s="159" t="n"/>
      <c r="F164" s="140" t="n"/>
      <c r="G164" s="462" t="n"/>
      <c r="H164" s="462" t="n"/>
      <c r="I164" s="462" t="n"/>
      <c r="J164" s="462" t="n"/>
      <c r="K164" s="462" t="n"/>
      <c r="L164" s="462" t="n"/>
      <c r="M164" s="462" t="n"/>
      <c r="N164" s="462" t="n"/>
      <c r="O164" s="462" t="n"/>
      <c r="P164" s="462" t="n"/>
      <c r="Q164" s="462" t="n"/>
      <c r="R164" s="462" t="n"/>
      <c r="S164" s="462" t="n"/>
      <c r="T164" s="462" t="n"/>
      <c r="U164" s="462" t="n"/>
      <c r="V164" s="462" t="n"/>
      <c r="W164" s="462" t="n"/>
      <c r="X164" s="462" t="n"/>
      <c r="Y164" s="462" t="n"/>
      <c r="Z164" s="462" t="n"/>
    </row>
    <row r="165">
      <c r="A165" s="69" t="n"/>
      <c r="B165" s="240" t="inlineStr">
        <is>
          <t>ITツールの導入によりインボイス対応に資する業務</t>
        </is>
      </c>
      <c r="C165" s="245" t="inlineStr">
        <is>
          <t>□スキャンした請求書の自動データ化
□仕入先が免税事業者かどうかの確認
□免税事業者の控除率の自動化
□請求書発行時の登録番号記載
□税率ごとの区分表示</t>
        </is>
      </c>
      <c r="D165" s="244" t="inlineStr">
        <is>
          <t>※ツールによって内容確認
（一例）
【貿易クラウド】【Cbox】
■請求書発行時の登録番号記載■税率ごとの区分表示
【クラフトバンク】
■スキャンした請求書の自動化■請求書発行時の登録番号記載■税率ごとの区分表示</t>
        </is>
      </c>
      <c r="E165" s="159" t="n"/>
      <c r="F165" s="140" t="n"/>
      <c r="G165" s="462" t="n"/>
      <c r="H165" s="462" t="n"/>
      <c r="I165" s="462" t="n"/>
      <c r="J165" s="462" t="n"/>
      <c r="K165" s="462" t="n"/>
      <c r="L165" s="462" t="n"/>
      <c r="M165" s="462" t="n"/>
      <c r="N165" s="462" t="n"/>
      <c r="O165" s="462" t="n"/>
      <c r="P165" s="462" t="n"/>
      <c r="Q165" s="462" t="n"/>
      <c r="R165" s="462" t="n"/>
      <c r="S165" s="462" t="n"/>
      <c r="T165" s="462" t="n"/>
      <c r="U165" s="462" t="n"/>
      <c r="V165" s="462" t="n"/>
      <c r="W165" s="462" t="n"/>
      <c r="X165" s="462" t="n"/>
      <c r="Y165" s="462" t="n"/>
      <c r="Z165" s="462" t="n"/>
    </row>
    <row r="166" ht="6" customHeight="1" s="477">
      <c r="A166" s="69" t="n"/>
      <c r="B166" s="246" t="inlineStr">
        <is>
          <t>アンケートは申請者様にご入力いただく</t>
        </is>
      </c>
      <c r="C166" s="247" t="n"/>
      <c r="D166" s="123" t="n"/>
      <c r="E166" s="248" t="n"/>
      <c r="F166" s="140" t="n"/>
      <c r="G166" s="462" t="n"/>
      <c r="H166" s="462" t="n"/>
      <c r="I166" s="462" t="n"/>
      <c r="J166" s="462" t="n"/>
      <c r="K166" s="462" t="n"/>
      <c r="L166" s="462" t="n"/>
      <c r="M166" s="462" t="n"/>
      <c r="N166" s="462" t="n"/>
      <c r="O166" s="462" t="n"/>
      <c r="P166" s="462" t="n"/>
      <c r="Q166" s="462" t="n"/>
      <c r="R166" s="462" t="n"/>
      <c r="S166" s="462" t="n"/>
      <c r="T166" s="462" t="n"/>
      <c r="U166" s="462" t="n"/>
      <c r="V166" s="462" t="n"/>
      <c r="W166" s="462" t="n"/>
      <c r="X166" s="462" t="n"/>
      <c r="Y166" s="462" t="n"/>
      <c r="Z166" s="462" t="n"/>
    </row>
    <row r="167">
      <c r="A167" s="69" t="n"/>
      <c r="B167" s="72" t="n"/>
      <c r="C167" s="73" t="n"/>
      <c r="D167" s="69" t="n"/>
      <c r="E167" s="73" t="n"/>
      <c r="F167" s="69" t="n"/>
    </row>
    <row r="168" ht="6" customHeight="1" s="477">
      <c r="A168" s="69" t="n"/>
      <c r="B168" s="141" t="inlineStr">
        <is>
          <t>『  次へ  』</t>
        </is>
      </c>
      <c r="C168" s="142" t="inlineStr">
        <is>
          <t>をクリック</t>
        </is>
      </c>
      <c r="D168" s="73" t="n"/>
      <c r="E168" s="73" t="n"/>
      <c r="F168" s="69" t="n"/>
    </row>
    <row r="169">
      <c r="A169" s="69" t="n"/>
      <c r="B169" s="72" t="n"/>
      <c r="C169" s="73" t="n"/>
      <c r="D169" s="69" t="n"/>
      <c r="E169" s="73" t="n"/>
      <c r="F169" s="69" t="n"/>
      <c r="G169" s="69" t="n"/>
      <c r="H169" s="462" t="n"/>
      <c r="I169" s="462" t="n"/>
      <c r="J169" s="462" t="n"/>
      <c r="K169" s="462" t="n"/>
      <c r="L169" s="462" t="n"/>
      <c r="M169" s="462" t="n"/>
      <c r="N169" s="462" t="n"/>
      <c r="O169" s="462" t="n"/>
      <c r="P169" s="462" t="n"/>
      <c r="Q169" s="462" t="n"/>
      <c r="R169" s="462" t="n"/>
      <c r="S169" s="462" t="n"/>
      <c r="T169" s="462" t="n"/>
      <c r="U169" s="462" t="n"/>
      <c r="V169" s="462" t="n"/>
      <c r="W169" s="462" t="n"/>
      <c r="X169" s="462" t="n"/>
      <c r="Y169" s="462" t="n"/>
      <c r="Z169" s="462" t="n"/>
    </row>
    <row r="170" ht="9" customHeight="1" s="477">
      <c r="A170" s="69" t="n"/>
      <c r="B170" s="497" t="inlineStr">
        <is>
          <t>書類添付</t>
        </is>
      </c>
      <c r="F170" s="69" t="n"/>
      <c r="G170" s="462" t="n"/>
      <c r="H170" s="462" t="n"/>
      <c r="I170" s="462" t="n"/>
      <c r="J170" s="462" t="n"/>
      <c r="K170" s="462" t="n"/>
      <c r="L170" s="462" t="n"/>
      <c r="M170" s="462" t="n"/>
      <c r="N170" s="462" t="n"/>
      <c r="O170" s="462" t="n"/>
      <c r="P170" s="462" t="n"/>
      <c r="Q170" s="462" t="n"/>
      <c r="R170" s="462" t="n"/>
      <c r="S170" s="462" t="n"/>
      <c r="T170" s="462" t="n"/>
      <c r="U170" s="462" t="n"/>
      <c r="V170" s="462" t="n"/>
      <c r="W170" s="462" t="n"/>
      <c r="X170" s="462" t="n"/>
      <c r="Y170" s="462" t="n"/>
      <c r="Z170" s="462" t="n"/>
    </row>
    <row r="171" ht="25.5" customHeight="1" s="477">
      <c r="A171" s="69" t="n"/>
      <c r="B171" s="72" t="n"/>
      <c r="C171" s="73" t="n"/>
      <c r="D171" s="69" t="n"/>
      <c r="E171" s="73" t="n"/>
      <c r="F171" s="69" t="n"/>
      <c r="G171" s="462" t="n"/>
      <c r="H171" s="462" t="n"/>
      <c r="I171" s="462" t="n"/>
      <c r="J171" s="462" t="n"/>
      <c r="K171" s="462" t="n"/>
      <c r="L171" s="462" t="n"/>
      <c r="M171" s="462" t="n"/>
      <c r="N171" s="462" t="n"/>
      <c r="O171" s="462" t="n"/>
      <c r="P171" s="462" t="n"/>
      <c r="Q171" s="462" t="n"/>
      <c r="R171" s="462" t="n"/>
      <c r="S171" s="462" t="n"/>
      <c r="T171" s="462" t="n"/>
      <c r="U171" s="462" t="n"/>
      <c r="V171" s="462" t="n"/>
      <c r="W171" s="462" t="n"/>
      <c r="X171" s="462" t="n"/>
      <c r="Y171" s="462" t="n"/>
      <c r="Z171" s="462" t="n"/>
    </row>
    <row r="172">
      <c r="A172" s="69" t="n"/>
      <c r="B172" s="249" t="inlineStr">
        <is>
          <t>履歴事項全部証明書</t>
        </is>
      </c>
      <c r="C172" s="222" t="inlineStr">
        <is>
          <t>ファイル添付</t>
        </is>
      </c>
      <c r="D172" s="250" t="inlineStr">
        <is>
          <t>※ファイル名に空白（スペース）が入っていないか確認</t>
        </is>
      </c>
      <c r="E172" s="223" t="inlineStr">
        <is>
          <t>資料リンクを貼る</t>
        </is>
      </c>
      <c r="F172" s="140" t="n"/>
      <c r="G172" s="462" t="n"/>
      <c r="H172" s="462" t="n"/>
      <c r="I172" s="462" t="n"/>
      <c r="J172" s="462" t="n"/>
      <c r="K172" s="462" t="n"/>
      <c r="L172" s="462" t="n"/>
      <c r="M172" s="462" t="n"/>
      <c r="N172" s="462" t="n"/>
      <c r="O172" s="462" t="n"/>
      <c r="P172" s="462" t="n"/>
      <c r="Q172" s="462" t="n"/>
      <c r="R172" s="462" t="n"/>
      <c r="S172" s="462" t="n"/>
      <c r="T172" s="462" t="n"/>
      <c r="U172" s="462" t="n"/>
      <c r="V172" s="462" t="n"/>
      <c r="W172" s="462" t="n"/>
      <c r="X172" s="462" t="n"/>
      <c r="Y172" s="462" t="n"/>
      <c r="Z172" s="462" t="n"/>
    </row>
    <row r="173">
      <c r="A173" s="69" t="n"/>
      <c r="B173" s="72" t="n"/>
      <c r="F173" s="69" t="n"/>
      <c r="G173" s="462" t="n"/>
      <c r="H173" s="462" t="n"/>
      <c r="I173" s="462" t="n"/>
      <c r="J173" s="462" t="n"/>
      <c r="K173" s="462" t="n"/>
      <c r="L173" s="462" t="n"/>
      <c r="M173" s="462" t="n"/>
      <c r="N173" s="462" t="n"/>
      <c r="O173" s="462" t="n"/>
      <c r="P173" s="462" t="n"/>
      <c r="Q173" s="462" t="n"/>
      <c r="R173" s="462" t="n"/>
      <c r="S173" s="462" t="n"/>
      <c r="T173" s="462" t="n"/>
      <c r="U173" s="462" t="n"/>
      <c r="V173" s="462" t="n"/>
      <c r="W173" s="462" t="n"/>
      <c r="X173" s="462" t="n"/>
      <c r="Y173" s="462" t="n"/>
      <c r="Z173" s="462" t="n"/>
    </row>
    <row r="174" ht="6" customHeight="1" s="477">
      <c r="A174" s="69" t="n"/>
      <c r="B174" s="249" t="inlineStr">
        <is>
          <t>納税証明書</t>
        </is>
      </c>
      <c r="C174" s="222" t="inlineStr">
        <is>
          <t>ファイル添付</t>
        </is>
      </c>
      <c r="D174" s="250" t="inlineStr">
        <is>
          <t>※ファイル名に空白（スペース）が入っていないか確認</t>
        </is>
      </c>
      <c r="E174" s="223" t="inlineStr">
        <is>
          <t>資料リンクを貼る</t>
        </is>
      </c>
      <c r="F174" s="140" t="n"/>
      <c r="G174" s="462" t="n"/>
      <c r="H174" s="462" t="n"/>
      <c r="I174" s="462" t="n"/>
      <c r="J174" s="462" t="n"/>
      <c r="K174" s="462" t="n"/>
      <c r="L174" s="462" t="n"/>
      <c r="M174" s="462" t="n"/>
      <c r="N174" s="462" t="n"/>
      <c r="O174" s="462" t="n"/>
      <c r="P174" s="462" t="n"/>
      <c r="Q174" s="462" t="n"/>
      <c r="R174" s="462" t="n"/>
      <c r="S174" s="462" t="n"/>
      <c r="T174" s="462" t="n"/>
      <c r="U174" s="462" t="n"/>
      <c r="V174" s="462" t="n"/>
      <c r="W174" s="462" t="n"/>
      <c r="X174" s="462" t="n"/>
      <c r="Y174" s="462" t="n"/>
      <c r="Z174" s="462" t="n"/>
    </row>
    <row r="175" ht="25.5" customHeight="1" s="477">
      <c r="A175" s="69" t="n"/>
      <c r="B175" s="72" t="n"/>
      <c r="C175" s="73" t="n"/>
      <c r="D175" s="250" t="n"/>
      <c r="E175" s="73" t="n"/>
      <c r="F175" s="69" t="n"/>
      <c r="G175" s="462" t="n"/>
      <c r="H175" s="462" t="n"/>
      <c r="I175" s="462" t="n"/>
      <c r="J175" s="462" t="n"/>
      <c r="K175" s="462" t="n"/>
      <c r="L175" s="462" t="n"/>
      <c r="M175" s="462" t="n"/>
      <c r="N175" s="462" t="n"/>
      <c r="O175" s="462" t="n"/>
      <c r="P175" s="462" t="n"/>
      <c r="Q175" s="462" t="n"/>
      <c r="R175" s="462" t="n"/>
      <c r="S175" s="462" t="n"/>
      <c r="T175" s="462" t="n"/>
      <c r="U175" s="462" t="n"/>
      <c r="V175" s="462" t="n"/>
      <c r="W175" s="462" t="n"/>
      <c r="X175" s="462" t="n"/>
      <c r="Y175" s="462" t="n"/>
      <c r="Z175" s="462" t="n"/>
    </row>
    <row r="176" ht="25.5" customHeight="1" s="477">
      <c r="A176" s="69" t="n"/>
      <c r="B176" s="249" t="inlineStr">
        <is>
          <t>決算書</t>
        </is>
      </c>
      <c r="C176" s="222" t="inlineStr">
        <is>
          <t>ファイル添付</t>
        </is>
      </c>
      <c r="D176" s="250" t="inlineStr">
        <is>
          <t>※ファイル名に空白（スペース）が入っていないか確認</t>
        </is>
      </c>
      <c r="E176" s="223" t="inlineStr">
        <is>
          <t>資料リンクを貼る</t>
        </is>
      </c>
      <c r="F176" s="140" t="n"/>
      <c r="G176" s="462" t="n"/>
      <c r="H176" s="462" t="n"/>
      <c r="I176" s="462" t="n"/>
      <c r="J176" s="462" t="n"/>
      <c r="K176" s="462" t="n"/>
      <c r="L176" s="462" t="n"/>
      <c r="M176" s="462" t="n"/>
      <c r="N176" s="462" t="n"/>
      <c r="O176" s="462" t="n"/>
      <c r="P176" s="462" t="n"/>
      <c r="Q176" s="462" t="n"/>
      <c r="R176" s="462" t="n"/>
      <c r="S176" s="462" t="n"/>
      <c r="T176" s="462" t="n"/>
      <c r="U176" s="462" t="n"/>
      <c r="V176" s="462" t="n"/>
      <c r="W176" s="462" t="n"/>
      <c r="X176" s="462" t="n"/>
      <c r="Y176" s="462" t="n"/>
      <c r="Z176" s="462" t="n"/>
    </row>
    <row r="177">
      <c r="A177" s="69" t="n"/>
      <c r="B177" s="72" t="n"/>
      <c r="C177" s="73" t="n"/>
      <c r="D177" s="250" t="n"/>
      <c r="E177" s="73" t="n"/>
      <c r="F177" s="69" t="n"/>
      <c r="G177" s="462" t="n"/>
      <c r="H177" s="462" t="n"/>
      <c r="I177" s="462" t="n"/>
      <c r="J177" s="462" t="n"/>
      <c r="K177" s="462" t="n"/>
      <c r="L177" s="462" t="n"/>
      <c r="M177" s="462" t="n"/>
      <c r="N177" s="462" t="n"/>
      <c r="O177" s="462" t="n"/>
      <c r="P177" s="462" t="n"/>
      <c r="Q177" s="462" t="n"/>
      <c r="R177" s="462" t="n"/>
      <c r="S177" s="462" t="n"/>
      <c r="T177" s="462" t="n"/>
      <c r="U177" s="462" t="n"/>
      <c r="V177" s="462" t="n"/>
      <c r="W177" s="462" t="n"/>
      <c r="X177" s="462" t="n"/>
      <c r="Y177" s="462" t="n"/>
      <c r="Z177" s="462" t="n"/>
    </row>
    <row r="178" ht="75.75" customHeight="1" s="477">
      <c r="A178" s="69" t="n"/>
      <c r="B178" s="249" t="inlineStr">
        <is>
          <t>その他資料</t>
        </is>
      </c>
      <c r="C178" s="222" t="inlineStr">
        <is>
          <t>ファイル添付</t>
        </is>
      </c>
      <c r="D178" s="250" t="n"/>
      <c r="E178" s="250" t="inlineStr">
        <is>
          <t>特に添付はありません</t>
        </is>
      </c>
      <c r="F178" s="140" t="n"/>
      <c r="G178" s="462" t="n"/>
      <c r="H178" s="462" t="n"/>
      <c r="I178" s="462" t="n"/>
      <c r="J178" s="462" t="n"/>
      <c r="K178" s="462" t="n"/>
      <c r="L178" s="462" t="n"/>
      <c r="M178" s="462" t="n"/>
      <c r="N178" s="462" t="n"/>
      <c r="O178" s="462" t="n"/>
      <c r="P178" s="462" t="n"/>
      <c r="Q178" s="462" t="n"/>
      <c r="R178" s="462" t="n"/>
      <c r="S178" s="462" t="n"/>
      <c r="T178" s="462" t="n"/>
      <c r="U178" s="462" t="n"/>
      <c r="V178" s="462" t="n"/>
      <c r="W178" s="462" t="n"/>
      <c r="X178" s="462" t="n"/>
      <c r="Y178" s="462" t="n"/>
      <c r="Z178" s="462" t="n"/>
    </row>
    <row r="179">
      <c r="A179" s="69" t="n"/>
      <c r="B179" s="72" t="n"/>
      <c r="C179" s="73" t="n"/>
      <c r="D179" s="69" t="n"/>
      <c r="E179" s="73" t="n"/>
      <c r="F179" s="69" t="n"/>
    </row>
    <row r="180">
      <c r="A180" s="69" t="n"/>
      <c r="B180" s="141" t="inlineStr">
        <is>
          <t>『  次へ  』</t>
        </is>
      </c>
      <c r="C180" s="142" t="inlineStr">
        <is>
          <t>をクリック</t>
        </is>
      </c>
      <c r="D180" s="73" t="n"/>
      <c r="E180" s="73" t="n"/>
      <c r="F180" s="69" t="n"/>
    </row>
    <row r="181">
      <c r="A181" s="69" t="n"/>
      <c r="B181" s="258" t="n"/>
      <c r="F181" s="140" t="n"/>
      <c r="G181" s="123" t="n"/>
      <c r="H181" s="462" t="n"/>
      <c r="I181" s="462" t="n"/>
      <c r="J181" s="462" t="n"/>
      <c r="K181" s="462" t="n"/>
      <c r="L181" s="462" t="n"/>
      <c r="M181" s="462" t="n"/>
      <c r="N181" s="462" t="n"/>
      <c r="O181" s="462" t="n"/>
      <c r="P181" s="462" t="n"/>
      <c r="Q181" s="462" t="n"/>
      <c r="R181" s="462" t="n"/>
      <c r="S181" s="462" t="n"/>
      <c r="T181" s="462" t="n"/>
      <c r="U181" s="462" t="n"/>
      <c r="V181" s="462" t="n"/>
      <c r="W181" s="462" t="n"/>
      <c r="X181" s="462" t="n"/>
      <c r="Y181" s="462" t="n"/>
      <c r="Z181" s="462" t="n"/>
    </row>
    <row r="182" ht="6" customHeight="1" s="477">
      <c r="A182" s="69" t="n"/>
      <c r="B182" s="497" t="inlineStr">
        <is>
          <t>交付申請情報確認</t>
        </is>
      </c>
      <c r="F182" s="69" t="n"/>
      <c r="G182" s="462" t="n"/>
      <c r="H182" s="462" t="n"/>
      <c r="I182" s="462" t="n"/>
      <c r="J182" s="462" t="n"/>
      <c r="K182" s="462" t="n"/>
      <c r="L182" s="462" t="n"/>
      <c r="M182" s="462" t="n"/>
      <c r="N182" s="462" t="n"/>
      <c r="O182" s="462" t="n"/>
      <c r="P182" s="462" t="n"/>
      <c r="Q182" s="462" t="n"/>
      <c r="R182" s="462" t="n"/>
      <c r="S182" s="462" t="n"/>
      <c r="T182" s="462" t="n"/>
      <c r="U182" s="462" t="n"/>
      <c r="V182" s="462" t="n"/>
      <c r="W182" s="462" t="n"/>
      <c r="X182" s="462" t="n"/>
      <c r="Y182" s="462" t="n"/>
      <c r="Z182" s="462" t="n"/>
    </row>
    <row r="183">
      <c r="A183" s="69" t="n"/>
      <c r="B183" s="72" t="n"/>
      <c r="C183" s="73" t="n"/>
      <c r="D183" s="69" t="n"/>
      <c r="E183" s="73" t="n"/>
      <c r="F183" s="69" t="n"/>
      <c r="G183" s="462" t="n"/>
      <c r="H183" s="462" t="n"/>
      <c r="I183" s="462" t="n"/>
      <c r="J183" s="462" t="n"/>
      <c r="K183" s="462" t="n"/>
      <c r="L183" s="462" t="n"/>
      <c r="M183" s="462" t="n"/>
      <c r="N183" s="462" t="n"/>
      <c r="O183" s="462" t="n"/>
      <c r="P183" s="462" t="n"/>
      <c r="Q183" s="462" t="n"/>
      <c r="R183" s="462" t="n"/>
      <c r="S183" s="462" t="n"/>
      <c r="T183" s="462" t="n"/>
      <c r="U183" s="462" t="n"/>
      <c r="V183" s="462" t="n"/>
      <c r="W183" s="462" t="n"/>
      <c r="X183" s="462" t="n"/>
      <c r="Y183" s="462" t="n"/>
      <c r="Z183" s="462" t="n"/>
    </row>
    <row r="184" ht="6" customHeight="1" s="477">
      <c r="A184" s="69" t="n"/>
      <c r="B184" s="253" t="inlineStr">
        <is>
          <t>ここまで入力を行った内容が表示。担当者携帯番号は間違いないか必ず担当者に確認依頼</t>
        </is>
      </c>
      <c r="C184" s="142" t="n"/>
      <c r="D184" s="73" t="n"/>
      <c r="E184" s="73" t="n"/>
      <c r="F184" s="69" t="n"/>
    </row>
    <row r="185" ht="25.5" customHeight="1" s="477">
      <c r="A185" s="69" t="n"/>
      <c r="B185" s="141" t="inlineStr">
        <is>
          <t>『  交付申請情報入力完了』</t>
        </is>
      </c>
      <c r="C185" s="142" t="inlineStr">
        <is>
          <t>をクリック⇨『支援事業者に引き継がれました』と表示</t>
        </is>
      </c>
      <c r="D185" s="73" t="n"/>
      <c r="E185" s="73" t="n"/>
      <c r="F185" s="69" t="n"/>
    </row>
    <row r="186">
      <c r="A186" s="69" t="n"/>
      <c r="B186" s="72" t="n"/>
      <c r="C186" s="73" t="n"/>
      <c r="D186" s="69" t="n"/>
      <c r="E186" s="73" t="n"/>
      <c r="F186" s="69" t="n"/>
      <c r="G186" s="123" t="n"/>
      <c r="H186" s="462" t="n"/>
      <c r="I186" s="462" t="n"/>
      <c r="J186" s="462" t="n"/>
      <c r="K186" s="462" t="n"/>
      <c r="L186" s="462" t="n"/>
      <c r="M186" s="462" t="n"/>
      <c r="N186" s="462" t="n"/>
      <c r="O186" s="462" t="n"/>
      <c r="P186" s="462" t="n"/>
      <c r="Q186" s="462" t="n"/>
      <c r="R186" s="462" t="n"/>
      <c r="S186" s="462" t="n"/>
      <c r="T186" s="462" t="n"/>
      <c r="U186" s="462" t="n"/>
      <c r="V186" s="462" t="n"/>
      <c r="W186" s="462" t="n"/>
      <c r="X186" s="462" t="n"/>
      <c r="Y186" s="462" t="n"/>
      <c r="Z186" s="462" t="n"/>
    </row>
    <row r="187">
      <c r="A187" s="69" t="n"/>
      <c r="B187" s="254" t="inlineStr">
        <is>
          <t>支援事業者入力</t>
        </is>
      </c>
      <c r="C187" s="482" t="n"/>
      <c r="D187" s="482" t="n"/>
      <c r="E187" s="510" t="n"/>
      <c r="F187" s="140" t="n"/>
      <c r="G187" s="462" t="n"/>
      <c r="H187" s="462" t="n"/>
      <c r="I187" s="462" t="n"/>
      <c r="J187" s="462" t="n"/>
      <c r="K187" s="462" t="n"/>
      <c r="L187" s="462" t="n"/>
      <c r="M187" s="462" t="n"/>
      <c r="N187" s="462" t="n"/>
      <c r="O187" s="462" t="n"/>
      <c r="P187" s="462" t="n"/>
      <c r="Q187" s="462" t="n"/>
      <c r="R187" s="462" t="n"/>
      <c r="S187" s="462" t="n"/>
      <c r="T187" s="462" t="n"/>
      <c r="U187" s="462" t="n"/>
      <c r="V187" s="462" t="n"/>
      <c r="W187" s="462" t="n"/>
      <c r="X187" s="462" t="n"/>
      <c r="Y187" s="462" t="n"/>
      <c r="Z187" s="462" t="n"/>
    </row>
    <row r="188" ht="6" customHeight="1" s="477">
      <c r="A188" s="69" t="n"/>
      <c r="B188" s="258" t="inlineStr">
        <is>
          <t>注意！！</t>
        </is>
      </c>
      <c r="C188" s="248" t="n"/>
      <c r="D188" s="123" t="n"/>
      <c r="E188" s="248" t="n"/>
      <c r="F188" s="140" t="n"/>
      <c r="G188" s="123" t="n"/>
      <c r="H188" s="462" t="n"/>
      <c r="I188" s="462" t="n"/>
      <c r="J188" s="462" t="n"/>
      <c r="K188" s="462" t="n"/>
      <c r="L188" s="462" t="n"/>
      <c r="M188" s="462" t="n"/>
      <c r="N188" s="462" t="n"/>
      <c r="O188" s="462" t="n"/>
      <c r="P188" s="462" t="n"/>
      <c r="Q188" s="462" t="n"/>
      <c r="R188" s="462" t="n"/>
      <c r="S188" s="462" t="n"/>
      <c r="T188" s="462" t="n"/>
      <c r="U188" s="462" t="n"/>
      <c r="V188" s="462" t="n"/>
      <c r="W188" s="462" t="n"/>
      <c r="X188" s="462" t="n"/>
      <c r="Y188" s="462" t="n"/>
      <c r="Z188" s="462" t="n"/>
    </row>
    <row r="189">
      <c r="A189" s="69" t="n"/>
      <c r="B189" s="72" t="n"/>
      <c r="C189" s="73" t="n"/>
      <c r="D189" s="69" t="inlineStr">
        <is>
          <t>https://www.mhlw.go.jp/content/11200000/001557915.pdf</t>
        </is>
      </c>
      <c r="E189" s="73" t="n"/>
      <c r="F189" s="69" t="n"/>
      <c r="G189" s="123" t="n"/>
      <c r="H189" s="462" t="n"/>
      <c r="I189" s="462" t="n"/>
      <c r="J189" s="462" t="n"/>
      <c r="K189" s="462" t="n"/>
      <c r="L189" s="462" t="n"/>
      <c r="M189" s="462" t="n"/>
      <c r="N189" s="462" t="n"/>
      <c r="O189" s="462" t="n"/>
      <c r="P189" s="462" t="n"/>
      <c r="Q189" s="462" t="n"/>
      <c r="R189" s="462" t="n"/>
      <c r="S189" s="462" t="n"/>
      <c r="T189" s="462" t="n"/>
      <c r="U189" s="462" t="n"/>
      <c r="V189" s="462" t="n"/>
      <c r="W189" s="462" t="n"/>
      <c r="X189" s="462" t="n"/>
      <c r="Y189" s="462" t="n"/>
      <c r="Z189" s="462" t="n"/>
    </row>
    <row r="190" ht="22.5" customHeight="1" s="477">
      <c r="A190" s="69" t="n"/>
      <c r="B190" s="497" t="inlineStr">
        <is>
          <t>申請要件確認</t>
        </is>
      </c>
      <c r="F190" s="69" t="n"/>
      <c r="G190" s="462" t="n"/>
      <c r="H190" s="462" t="n"/>
      <c r="I190" s="462" t="n"/>
      <c r="J190" s="462" t="n"/>
      <c r="K190" s="462" t="n"/>
      <c r="L190" s="462" t="n"/>
      <c r="M190" s="462" t="n"/>
      <c r="N190" s="462" t="n"/>
      <c r="O190" s="462" t="n"/>
      <c r="P190" s="462" t="n"/>
      <c r="Q190" s="462" t="n"/>
      <c r="R190" s="462" t="n"/>
      <c r="S190" s="462" t="n"/>
      <c r="T190" s="462" t="n"/>
      <c r="U190" s="462" t="n"/>
      <c r="V190" s="462" t="n"/>
      <c r="W190" s="462" t="n"/>
      <c r="X190" s="462" t="n"/>
      <c r="Y190" s="462" t="n"/>
      <c r="Z190" s="462" t="n"/>
    </row>
    <row r="191">
      <c r="A191" s="69" t="n"/>
      <c r="B191" s="72" t="n"/>
      <c r="C191" s="73" t="n"/>
      <c r="D191" s="69" t="n"/>
      <c r="E191" s="73" t="n"/>
      <c r="F191" s="69" t="n"/>
      <c r="G191" s="462" t="n"/>
      <c r="H191" s="462" t="n"/>
      <c r="I191" s="462" t="n"/>
      <c r="J191" s="462" t="n"/>
      <c r="K191" s="462" t="n"/>
      <c r="L191" s="462" t="n"/>
      <c r="M191" s="462" t="n"/>
      <c r="N191" s="462" t="n"/>
      <c r="O191" s="462" t="n"/>
      <c r="P191" s="462" t="n"/>
      <c r="Q191" s="462" t="n"/>
      <c r="R191" s="462" t="n"/>
      <c r="S191" s="462" t="n"/>
      <c r="T191" s="462" t="n"/>
      <c r="U191" s="462" t="n"/>
      <c r="V191" s="462" t="n"/>
      <c r="W191" s="462" t="n"/>
      <c r="X191" s="462" t="n"/>
      <c r="Y191" s="462" t="n"/>
      <c r="Z191" s="462" t="n"/>
    </row>
    <row r="192">
      <c r="A192" s="69" t="n"/>
      <c r="B192" s="265" t="inlineStr">
        <is>
          <t>補助事業者登録に伴う要件確認</t>
        </is>
      </c>
      <c r="C192" s="259" t="inlineStr">
        <is>
          <t>すべてに✅を入れてもらう</t>
        </is>
      </c>
      <c r="D192" s="460" t="n"/>
      <c r="E192" s="159" t="n"/>
      <c r="F192" s="140" t="n"/>
      <c r="G192" s="462" t="n"/>
      <c r="H192" s="462" t="n"/>
      <c r="I192" s="462" t="n"/>
      <c r="J192" s="462" t="n"/>
      <c r="K192" s="462" t="n"/>
      <c r="L192" s="462" t="n"/>
      <c r="M192" s="462" t="n"/>
      <c r="N192" s="462" t="n"/>
      <c r="O192" s="462" t="n"/>
      <c r="P192" s="462" t="n"/>
      <c r="Q192" s="462" t="n"/>
      <c r="R192" s="462" t="n"/>
      <c r="S192" s="462" t="n"/>
      <c r="T192" s="462" t="n"/>
      <c r="U192" s="462" t="n"/>
      <c r="V192" s="462" t="n"/>
      <c r="W192" s="462" t="n"/>
      <c r="X192" s="462" t="n"/>
      <c r="Y192" s="462" t="n"/>
      <c r="Z192" s="462" t="n"/>
    </row>
    <row r="193">
      <c r="A193" s="69" t="n"/>
      <c r="B193" s="72" t="n"/>
      <c r="C193" s="73" t="n"/>
      <c r="D193" s="501" t="n"/>
      <c r="E193" s="73" t="n"/>
      <c r="F193" s="69" t="n"/>
      <c r="G193" s="462" t="n"/>
      <c r="H193" s="462" t="n"/>
      <c r="I193" s="462" t="n"/>
      <c r="J193" s="462" t="n"/>
      <c r="K193" s="462" t="n"/>
      <c r="L193" s="462" t="n"/>
      <c r="M193" s="462" t="n"/>
      <c r="N193" s="462" t="n"/>
      <c r="O193" s="462" t="n"/>
      <c r="P193" s="462" t="n"/>
      <c r="Q193" s="462" t="n"/>
      <c r="R193" s="462" t="n"/>
      <c r="S193" s="462" t="n"/>
      <c r="T193" s="462" t="n"/>
      <c r="U193" s="462" t="n"/>
      <c r="V193" s="462" t="n"/>
      <c r="W193" s="462" t="n"/>
      <c r="X193" s="462" t="n"/>
      <c r="Y193" s="462" t="n"/>
      <c r="Z193" s="462" t="n"/>
    </row>
    <row r="194">
      <c r="A194" s="69" t="n"/>
      <c r="B194" s="141" t="inlineStr">
        <is>
          <t>『  宣誓する』</t>
        </is>
      </c>
      <c r="C194" s="142" t="inlineStr">
        <is>
          <t>をクリック</t>
        </is>
      </c>
      <c r="D194" s="501" t="n"/>
      <c r="E194" s="73" t="n"/>
      <c r="F194" s="69" t="n"/>
    </row>
    <row r="195">
      <c r="A195" s="260" t="n"/>
      <c r="B195" s="261" t="n"/>
      <c r="C195" s="247" t="n"/>
      <c r="D195" s="502" t="n"/>
      <c r="E195" s="248" t="n"/>
      <c r="F195" s="140" t="n"/>
      <c r="G195" s="462" t="n"/>
      <c r="H195" s="462" t="n"/>
      <c r="I195" s="462" t="n"/>
      <c r="J195" s="462" t="n"/>
      <c r="K195" s="462" t="n"/>
      <c r="L195" s="462" t="n"/>
      <c r="M195" s="462" t="n"/>
      <c r="N195" s="462" t="n"/>
      <c r="O195" s="462" t="n"/>
      <c r="P195" s="462" t="n"/>
      <c r="Q195" s="462" t="n"/>
      <c r="R195" s="462" t="n"/>
      <c r="S195" s="462" t="n"/>
      <c r="T195" s="462" t="n"/>
      <c r="U195" s="462" t="n"/>
      <c r="V195" s="462" t="n"/>
      <c r="W195" s="462" t="n"/>
      <c r="X195" s="462" t="n"/>
      <c r="Y195" s="462" t="n"/>
      <c r="Z195" s="462" t="n"/>
    </row>
    <row r="196" ht="30.75" customHeight="1" s="477">
      <c r="A196" s="69" t="n"/>
      <c r="B196" s="497" t="inlineStr">
        <is>
          <t>計画数値入力</t>
        </is>
      </c>
      <c r="F196" s="69" t="n"/>
      <c r="G196" s="462" t="n"/>
      <c r="H196" s="462" t="n"/>
      <c r="I196" s="462" t="n"/>
      <c r="J196" s="462" t="n"/>
      <c r="K196" s="462" t="n"/>
      <c r="L196" s="462" t="n"/>
      <c r="M196" s="462" t="n"/>
      <c r="N196" s="462" t="n"/>
      <c r="O196" s="462" t="n"/>
      <c r="P196" s="462" t="n"/>
      <c r="Q196" s="462" t="n"/>
      <c r="R196" s="462" t="n"/>
      <c r="S196" s="462" t="n"/>
      <c r="T196" s="462" t="n"/>
      <c r="U196" s="462" t="n"/>
      <c r="V196" s="462" t="n"/>
      <c r="W196" s="462" t="n"/>
      <c r="X196" s="462" t="n"/>
      <c r="Y196" s="462" t="n"/>
      <c r="Z196" s="462" t="n"/>
    </row>
    <row r="197">
      <c r="A197" s="69" t="n"/>
      <c r="B197" s="72" t="n"/>
      <c r="C197" s="73" t="n"/>
      <c r="D197" s="69" t="n"/>
      <c r="E197" s="73" t="n"/>
      <c r="F197" s="69" t="n"/>
      <c r="G197" s="462" t="n"/>
      <c r="H197" s="462" t="n"/>
      <c r="I197" s="462" t="n"/>
      <c r="J197" s="462" t="n"/>
      <c r="K197" s="462" t="n"/>
      <c r="L197" s="462" t="n"/>
      <c r="M197" s="462" t="n"/>
      <c r="N197" s="462" t="n"/>
      <c r="O197" s="462" t="n"/>
      <c r="P197" s="462" t="n"/>
      <c r="Q197" s="462" t="n"/>
      <c r="R197" s="462" t="n"/>
      <c r="S197" s="462" t="n"/>
      <c r="T197" s="462" t="n"/>
      <c r="U197" s="462" t="n"/>
      <c r="V197" s="462" t="n"/>
      <c r="W197" s="462" t="n"/>
      <c r="X197" s="462" t="n"/>
      <c r="Y197" s="462" t="n"/>
      <c r="Z197" s="462" t="n"/>
    </row>
    <row r="198">
      <c r="A198" s="69" t="n"/>
      <c r="B198" s="162" t="inlineStr">
        <is>
          <t>主たる事業場の所在地/地域別最低賃金</t>
        </is>
      </c>
      <c r="C198" s="262" t="n"/>
      <c r="D198" s="263" t="inlineStr">
        <is>
          <t>都道府県名のみ、登記から抜粋
令和7年度地域別最低賃金額</t>
        </is>
      </c>
      <c r="E198" s="159" t="n"/>
      <c r="F198" s="140" t="n"/>
      <c r="G198" s="462" t="n"/>
      <c r="H198" s="462" t="n"/>
      <c r="I198" s="462" t="n"/>
      <c r="J198" s="462" t="n"/>
      <c r="K198" s="462" t="n"/>
      <c r="L198" s="462" t="n"/>
      <c r="M198" s="462" t="n"/>
      <c r="N198" s="462" t="n"/>
      <c r="O198" s="462" t="n"/>
      <c r="P198" s="462" t="n"/>
      <c r="Q198" s="462" t="n"/>
      <c r="R198" s="462" t="n"/>
      <c r="S198" s="462" t="n"/>
      <c r="T198" s="462" t="n"/>
      <c r="U198" s="462" t="n"/>
      <c r="V198" s="462" t="n"/>
      <c r="W198" s="462" t="n"/>
      <c r="X198" s="462" t="n"/>
      <c r="Y198" s="462" t="n"/>
      <c r="Z198" s="462" t="n"/>
    </row>
    <row r="199">
      <c r="A199" s="69" t="n"/>
      <c r="B199" s="230" t="inlineStr">
        <is>
          <t>事業所内最低賃金時給</t>
        </is>
      </c>
      <c r="C199" s="264">
        <f>'転記'!B70</f>
        <v/>
      </c>
      <c r="D199" s="190" t="inlineStr">
        <is>
          <t>※都道府県の最低賃金を下回っていないか確認</t>
        </is>
      </c>
      <c r="E199" s="159" t="n"/>
      <c r="F199" s="140" t="n"/>
      <c r="G199" s="462" t="n"/>
      <c r="H199" s="462" t="n"/>
      <c r="I199" s="462" t="n"/>
      <c r="J199" s="462" t="n"/>
      <c r="K199" s="462" t="n"/>
      <c r="L199" s="462" t="n"/>
      <c r="M199" s="462" t="n"/>
      <c r="N199" s="462" t="n"/>
      <c r="O199" s="462" t="n"/>
      <c r="P199" s="462" t="n"/>
      <c r="Q199" s="462" t="n"/>
      <c r="R199" s="462" t="n"/>
      <c r="S199" s="462" t="n"/>
      <c r="T199" s="462" t="n"/>
      <c r="U199" s="462" t="n"/>
      <c r="V199" s="462" t="n"/>
      <c r="W199" s="462" t="n"/>
      <c r="X199" s="462" t="n"/>
      <c r="Y199" s="462" t="n"/>
      <c r="Z199" s="462" t="n"/>
    </row>
    <row r="200">
      <c r="A200" s="69" t="n"/>
      <c r="B200" s="265" t="inlineStr">
        <is>
          <t>従業員数（全期間在籍していない従業員は除外、パートなどの短時間勤務者は換算）</t>
        </is>
      </c>
      <c r="C200" s="503" t="n"/>
      <c r="D200" s="267" t="n"/>
      <c r="E200" s="159" t="n"/>
      <c r="F200" s="140" t="n"/>
      <c r="G200" s="462" t="n"/>
      <c r="H200" s="462" t="n"/>
      <c r="I200" s="462" t="n"/>
      <c r="J200" s="462" t="n"/>
      <c r="K200" s="462" t="n"/>
      <c r="L200" s="462" t="n"/>
      <c r="M200" s="462" t="n"/>
      <c r="N200" s="462" t="n"/>
      <c r="O200" s="462" t="n"/>
      <c r="P200" s="462" t="n"/>
      <c r="Q200" s="462" t="n"/>
      <c r="R200" s="462" t="n"/>
      <c r="S200" s="462" t="n"/>
      <c r="T200" s="462" t="n"/>
      <c r="U200" s="462" t="n"/>
      <c r="V200" s="462" t="n"/>
      <c r="W200" s="462" t="n"/>
      <c r="X200" s="462" t="n"/>
      <c r="Y200" s="462" t="n"/>
      <c r="Z200" s="462" t="n"/>
    </row>
    <row r="201">
      <c r="A201" s="69" t="n"/>
      <c r="B201" s="265" t="inlineStr">
        <is>
          <t>事業計画期間における給与支給総額
（直近決算期の給与支給総額）</t>
        </is>
      </c>
      <c r="C201" s="503" t="n"/>
      <c r="D201" s="267" t="inlineStr">
        <is>
          <t>生産性、給与支給総額シートより（リンクされているので触らない）</t>
        </is>
      </c>
      <c r="E201" s="159" t="n"/>
      <c r="F201" s="140" t="n"/>
      <c r="G201" s="462" t="n"/>
      <c r="H201" s="462" t="n"/>
      <c r="I201" s="462" t="n"/>
      <c r="J201" s="462" t="n"/>
      <c r="K201" s="462" t="n"/>
      <c r="L201" s="462" t="n"/>
      <c r="M201" s="462" t="n"/>
      <c r="N201" s="462" t="n"/>
      <c r="O201" s="462" t="n"/>
      <c r="P201" s="462" t="n"/>
      <c r="Q201" s="462" t="n"/>
      <c r="R201" s="462" t="n"/>
      <c r="S201" s="462" t="n"/>
      <c r="T201" s="462" t="n"/>
      <c r="U201" s="462" t="n"/>
      <c r="V201" s="462" t="n"/>
      <c r="W201" s="462" t="n"/>
      <c r="X201" s="462" t="n"/>
      <c r="Y201" s="462" t="n"/>
      <c r="Z201" s="462" t="n"/>
    </row>
    <row r="202">
      <c r="A202" s="69" t="n"/>
      <c r="B202" s="265" t="inlineStr">
        <is>
          <t>給与支給総額
（2025/4～2026/3計画数値）</t>
        </is>
      </c>
      <c r="C202" s="503" t="n"/>
      <c r="D202" s="501" t="n"/>
      <c r="E202" s="159" t="n"/>
      <c r="F202" s="140" t="n"/>
      <c r="G202" s="462" t="n"/>
      <c r="H202" s="462" t="n"/>
      <c r="I202" s="462" t="n"/>
      <c r="J202" s="462" t="n"/>
      <c r="K202" s="462" t="n"/>
      <c r="L202" s="462" t="n"/>
      <c r="M202" s="462" t="n"/>
      <c r="N202" s="462" t="n"/>
      <c r="O202" s="462" t="n"/>
      <c r="P202" s="462" t="n"/>
      <c r="Q202" s="462" t="n"/>
      <c r="R202" s="462" t="n"/>
      <c r="S202" s="462" t="n"/>
      <c r="T202" s="462" t="n"/>
      <c r="U202" s="462" t="n"/>
      <c r="V202" s="462" t="n"/>
      <c r="W202" s="462" t="n"/>
      <c r="X202" s="462" t="n"/>
      <c r="Y202" s="462" t="n"/>
      <c r="Z202" s="462" t="n"/>
    </row>
    <row r="203">
      <c r="A203" s="69" t="n"/>
      <c r="B203" s="265" t="inlineStr">
        <is>
          <t>給与支給総額
（2026/4～2027/3計画数値）</t>
        </is>
      </c>
      <c r="C203" s="503" t="n"/>
      <c r="D203" s="501" t="n"/>
      <c r="E203" s="159" t="n"/>
      <c r="F203" s="140" t="n"/>
      <c r="G203" s="462" t="n"/>
      <c r="H203" s="462" t="n"/>
      <c r="I203" s="462" t="n"/>
      <c r="J203" s="462" t="n"/>
      <c r="K203" s="462" t="n"/>
      <c r="L203" s="462" t="n"/>
      <c r="M203" s="462" t="n"/>
      <c r="N203" s="462" t="n"/>
      <c r="O203" s="462" t="n"/>
      <c r="P203" s="462" t="n"/>
      <c r="Q203" s="462" t="n"/>
      <c r="R203" s="462" t="n"/>
      <c r="S203" s="462" t="n"/>
      <c r="T203" s="462" t="n"/>
      <c r="U203" s="462" t="n"/>
      <c r="V203" s="462" t="n"/>
      <c r="W203" s="462" t="n"/>
      <c r="X203" s="462" t="n"/>
      <c r="Y203" s="462" t="n"/>
      <c r="Z203" s="462" t="n"/>
    </row>
    <row r="204">
      <c r="A204" s="269" t="n"/>
      <c r="B204" s="265" t="inlineStr">
        <is>
          <t>給与支給総額
（2027/4～2028/3計画数値）</t>
        </is>
      </c>
      <c r="C204" s="503" t="n"/>
      <c r="D204" s="502" t="n"/>
      <c r="E204" s="159" t="n"/>
      <c r="F204" s="270" t="n"/>
      <c r="G204" s="462" t="n"/>
      <c r="H204" s="462" t="n"/>
      <c r="I204" s="462" t="n"/>
      <c r="J204" s="462" t="n"/>
      <c r="K204" s="462" t="n"/>
      <c r="L204" s="462" t="n"/>
      <c r="M204" s="462" t="n"/>
      <c r="N204" s="462" t="n"/>
      <c r="O204" s="462" t="n"/>
      <c r="P204" s="462" t="n"/>
      <c r="Q204" s="462" t="n"/>
      <c r="R204" s="462" t="n"/>
      <c r="S204" s="462" t="n"/>
      <c r="T204" s="462" t="n"/>
      <c r="U204" s="462" t="n"/>
      <c r="V204" s="462" t="n"/>
      <c r="W204" s="462" t="n"/>
      <c r="X204" s="462" t="n"/>
      <c r="Y204" s="462" t="n"/>
      <c r="Z204" s="462" t="n"/>
    </row>
    <row r="205">
      <c r="A205" s="271" t="n"/>
      <c r="B205" s="272" t="inlineStr">
        <is>
          <t>⇨年平均成長率：上記4点記入後、「年平均成長率計算」をクリック（申請画面上で1.5％以上であることを確認）</t>
        </is>
      </c>
      <c r="C205" s="273" t="n"/>
      <c r="D205" s="274" t="n"/>
      <c r="E205" s="275" t="n"/>
      <c r="F205" s="271" t="n"/>
      <c r="G205" s="276" t="n"/>
      <c r="H205" s="276" t="n"/>
      <c r="I205" s="276" t="n"/>
      <c r="J205" s="276" t="n"/>
      <c r="K205" s="276" t="n"/>
      <c r="L205" s="276" t="n"/>
      <c r="M205" s="276" t="n"/>
      <c r="N205" s="276" t="n"/>
      <c r="O205" s="276" t="n"/>
      <c r="P205" s="276" t="n"/>
      <c r="Q205" s="276" t="n"/>
      <c r="R205" s="276" t="n"/>
      <c r="S205" s="276" t="n"/>
      <c r="T205" s="276" t="n"/>
      <c r="U205" s="276" t="n"/>
      <c r="V205" s="276" t="n"/>
      <c r="W205" s="276" t="n"/>
      <c r="X205" s="276" t="n"/>
      <c r="Y205" s="276" t="n"/>
      <c r="Z205" s="276" t="n"/>
    </row>
    <row r="206">
      <c r="A206" s="277" t="n"/>
      <c r="B206" s="278" t="inlineStr">
        <is>
          <t>賃上げを行いますか。</t>
        </is>
      </c>
      <c r="C206" s="279" t="inlineStr">
        <is>
          <t>□にチェック</t>
        </is>
      </c>
      <c r="D206" s="280" t="n"/>
      <c r="E206" s="281" t="n"/>
      <c r="F206" s="282" t="n"/>
      <c r="G206" s="169" t="n"/>
      <c r="H206" s="169" t="n"/>
      <c r="I206" s="169" t="n"/>
      <c r="J206" s="169" t="n"/>
      <c r="K206" s="169" t="n"/>
      <c r="L206" s="169" t="n"/>
      <c r="M206" s="169" t="n"/>
      <c r="N206" s="169" t="n"/>
      <c r="O206" s="169" t="n"/>
      <c r="P206" s="169" t="n"/>
      <c r="Q206" s="169" t="n"/>
      <c r="R206" s="169" t="n"/>
      <c r="S206" s="169" t="n"/>
      <c r="T206" s="169" t="n"/>
      <c r="U206" s="169" t="n"/>
      <c r="V206" s="169" t="n"/>
      <c r="W206" s="169" t="n"/>
      <c r="X206" s="169" t="n"/>
      <c r="Y206" s="169" t="n"/>
      <c r="Z206" s="169" t="n"/>
    </row>
    <row r="207">
      <c r="A207" s="200" t="n"/>
      <c r="B207" s="265" t="inlineStr">
        <is>
          <t>上記の賃上げ計画を従業員へ表明しましたか？</t>
        </is>
      </c>
      <c r="C207" s="283" t="inlineStr">
        <is>
          <t>■はい
□いいえ</t>
        </is>
      </c>
      <c r="D207" s="460" t="n"/>
      <c r="E207" s="159" t="n"/>
      <c r="F207" s="140" t="n"/>
      <c r="G207" s="462" t="n"/>
      <c r="H207" s="462" t="n"/>
      <c r="I207" s="462" t="n"/>
      <c r="J207" s="462" t="n"/>
      <c r="K207" s="462" t="n"/>
      <c r="L207" s="462" t="n"/>
      <c r="M207" s="462" t="n"/>
      <c r="N207" s="462" t="n"/>
      <c r="O207" s="462" t="n"/>
      <c r="P207" s="462" t="n"/>
      <c r="Q207" s="462" t="n"/>
      <c r="R207" s="462" t="n"/>
      <c r="S207" s="462" t="n"/>
      <c r="T207" s="462" t="n"/>
      <c r="U207" s="462" t="n"/>
      <c r="V207" s="462" t="n"/>
      <c r="W207" s="462" t="n"/>
      <c r="X207" s="462" t="n"/>
      <c r="Y207" s="462" t="n"/>
      <c r="Z207" s="462" t="n"/>
    </row>
    <row r="208">
      <c r="A208" s="200" t="n"/>
      <c r="B208" s="265" t="inlineStr">
        <is>
          <t>賃上げ幅を選択</t>
        </is>
      </c>
      <c r="C208" s="286" t="n"/>
      <c r="D208" s="190" t="inlineStr">
        <is>
          <t>『転記』シートより、プルダウンを選択</t>
        </is>
      </c>
      <c r="E208" s="159" t="n"/>
      <c r="F208" s="140" t="n"/>
      <c r="G208" s="462" t="n"/>
      <c r="H208" s="462" t="n"/>
      <c r="I208" s="462" t="n"/>
      <c r="J208" s="462" t="n"/>
      <c r="K208" s="462" t="n"/>
      <c r="L208" s="462" t="n"/>
      <c r="M208" s="462" t="n"/>
      <c r="N208" s="462" t="n"/>
      <c r="O208" s="462" t="n"/>
      <c r="P208" s="462" t="n"/>
      <c r="Q208" s="462" t="n"/>
      <c r="R208" s="462" t="n"/>
      <c r="S208" s="462" t="n"/>
      <c r="T208" s="462" t="n"/>
      <c r="U208" s="462" t="n"/>
      <c r="V208" s="462" t="n"/>
      <c r="W208" s="462" t="n"/>
      <c r="X208" s="462" t="n"/>
      <c r="Y208" s="462" t="n"/>
      <c r="Z208" s="462" t="n"/>
    </row>
    <row r="209">
      <c r="A209" s="200" t="n"/>
      <c r="B209" s="265" t="inlineStr">
        <is>
          <t>表明を行った方法</t>
        </is>
      </c>
      <c r="C209" s="283" t="inlineStr">
        <is>
          <t>□社内掲示板などへの掲載によって
■朝礼時、会議、面談時など口頭によって
□書面、電子メールによって
□その他</t>
        </is>
      </c>
      <c r="D209" s="159" t="inlineStr">
        <is>
          <t>特に指定がなければ、「礼時、会議、面談時など口頭によって」を選択する</t>
        </is>
      </c>
      <c r="E209" s="159" t="n"/>
      <c r="F209" s="140" t="n"/>
      <c r="G209" s="462" t="n"/>
      <c r="H209" s="462" t="n"/>
      <c r="I209" s="462" t="n"/>
      <c r="J209" s="462" t="n"/>
      <c r="K209" s="462" t="n"/>
      <c r="L209" s="462" t="n"/>
      <c r="M209" s="462" t="n"/>
      <c r="N209" s="462" t="n"/>
      <c r="O209" s="462" t="n"/>
      <c r="P209" s="462" t="n"/>
      <c r="Q209" s="462" t="n"/>
      <c r="R209" s="462" t="n"/>
      <c r="S209" s="462" t="n"/>
      <c r="T209" s="462" t="n"/>
      <c r="U209" s="462" t="n"/>
      <c r="V209" s="462" t="n"/>
      <c r="W209" s="462" t="n"/>
      <c r="X209" s="462" t="n"/>
      <c r="Y209" s="462" t="n"/>
      <c r="Z209" s="462" t="n"/>
    </row>
    <row r="210">
      <c r="A210" s="200" t="n"/>
      <c r="B210" s="162" t="inlineStr">
        <is>
          <t>表明を行った日付
※ダブルクリックでカレンダー表示</t>
        </is>
      </c>
      <c r="C210" s="504" t="n"/>
      <c r="D210" s="159" t="inlineStr">
        <is>
          <t>申請日より前の日付を設定（シート作成日）</t>
        </is>
      </c>
      <c r="E210" s="159" t="n"/>
      <c r="F210" s="140" t="n"/>
      <c r="G210" s="462" t="n"/>
      <c r="H210" s="462" t="n"/>
      <c r="I210" s="462" t="n"/>
      <c r="J210" s="462" t="n"/>
      <c r="K210" s="462" t="n"/>
      <c r="L210" s="462" t="n"/>
      <c r="M210" s="462" t="n"/>
      <c r="N210" s="462" t="n"/>
      <c r="O210" s="462" t="n"/>
      <c r="P210" s="462" t="n"/>
      <c r="Q210" s="462" t="n"/>
      <c r="R210" s="462" t="n"/>
      <c r="S210" s="462" t="n"/>
      <c r="T210" s="462" t="n"/>
      <c r="U210" s="462" t="n"/>
      <c r="V210" s="462" t="n"/>
      <c r="W210" s="462" t="n"/>
      <c r="X210" s="462" t="n"/>
      <c r="Y210" s="462" t="n"/>
      <c r="Z210" s="462" t="n"/>
    </row>
    <row r="211" ht="6" customHeight="1" s="477">
      <c r="A211" s="200" t="n"/>
      <c r="B211" s="265" t="inlineStr">
        <is>
          <t>従業員代表者</t>
        </is>
      </c>
      <c r="C211" s="286">
        <f>'転記'!B76</f>
        <v/>
      </c>
      <c r="D211" s="288" t="inlineStr">
        <is>
          <t>代表者・取締役以外の、従業員
 ※漢字フルネーム</t>
        </is>
      </c>
      <c r="E211" s="159" t="n"/>
      <c r="F211" s="140" t="n"/>
      <c r="G211" s="462" t="n"/>
      <c r="H211" s="462" t="n"/>
      <c r="I211" s="462" t="n"/>
      <c r="J211" s="462" t="n"/>
      <c r="K211" s="462" t="n"/>
      <c r="L211" s="462" t="n"/>
      <c r="M211" s="462" t="n"/>
      <c r="N211" s="462" t="n"/>
      <c r="O211" s="462" t="n"/>
      <c r="P211" s="462" t="n"/>
      <c r="Q211" s="462" t="n"/>
      <c r="R211" s="462" t="n"/>
      <c r="S211" s="462" t="n"/>
      <c r="T211" s="462" t="n"/>
      <c r="U211" s="462" t="n"/>
      <c r="V211" s="462" t="n"/>
      <c r="W211" s="462" t="n"/>
      <c r="X211" s="462" t="n"/>
      <c r="Y211" s="462" t="n"/>
      <c r="Z211" s="462" t="n"/>
    </row>
    <row r="212" ht="6" customHeight="1" s="477">
      <c r="A212" s="69" t="n"/>
      <c r="B212" s="265" t="inlineStr">
        <is>
          <t>給与担当者</t>
        </is>
      </c>
      <c r="C212" s="286">
        <f>'転記'!B77</f>
        <v/>
      </c>
      <c r="D212" s="288" t="inlineStr">
        <is>
          <t>経理・給与担当の方が不在の時は、役員も可
 ※漢字フルネーム</t>
        </is>
      </c>
      <c r="E212" s="159" t="n"/>
      <c r="F212" s="140" t="n"/>
      <c r="G212" s="462" t="n"/>
      <c r="H212" s="462" t="n"/>
      <c r="I212" s="462" t="n"/>
      <c r="J212" s="462" t="n"/>
      <c r="K212" s="462" t="n"/>
      <c r="L212" s="462" t="n"/>
      <c r="M212" s="462" t="n"/>
      <c r="N212" s="462" t="n"/>
      <c r="O212" s="462" t="n"/>
      <c r="P212" s="462" t="n"/>
      <c r="Q212" s="462" t="n"/>
      <c r="R212" s="462" t="n"/>
      <c r="S212" s="462" t="n"/>
      <c r="T212" s="462" t="n"/>
      <c r="U212" s="462" t="n"/>
      <c r="V212" s="462" t="n"/>
      <c r="W212" s="462" t="n"/>
      <c r="X212" s="462" t="n"/>
      <c r="Y212" s="462" t="n"/>
      <c r="Z212" s="462" t="n"/>
    </row>
    <row r="213" ht="6" customHeight="1" s="477">
      <c r="A213" s="69" t="n"/>
      <c r="B213" s="265" t="inlineStr">
        <is>
          <t>事業所内最低賃金者</t>
        </is>
      </c>
      <c r="C213" s="286">
        <f>'転記'!B78</f>
        <v/>
      </c>
      <c r="D213" s="288" t="inlineStr">
        <is>
          <t>代表者・取締役以外の、従業員（パートアルバイト不在の場合は、新入社員など社員も可）※漢字フルネーム</t>
        </is>
      </c>
      <c r="E213" s="159" t="n"/>
      <c r="F213" s="140" t="n"/>
      <c r="G213" s="462" t="n"/>
      <c r="H213" s="462" t="n"/>
      <c r="I213" s="462" t="n"/>
      <c r="J213" s="462" t="n"/>
      <c r="K213" s="462" t="n"/>
      <c r="L213" s="462" t="n"/>
      <c r="M213" s="462" t="n"/>
      <c r="N213" s="462" t="n"/>
      <c r="O213" s="462" t="n"/>
      <c r="P213" s="462" t="n"/>
      <c r="Q213" s="462" t="n"/>
      <c r="R213" s="462" t="n"/>
      <c r="S213" s="462" t="n"/>
      <c r="T213" s="462" t="n"/>
      <c r="U213" s="462" t="n"/>
      <c r="V213" s="462" t="n"/>
      <c r="W213" s="462" t="n"/>
      <c r="X213" s="462" t="n"/>
      <c r="Y213" s="462" t="n"/>
      <c r="Z213" s="462" t="n"/>
    </row>
    <row r="214" ht="6" customHeight="1" s="477">
      <c r="A214" s="125" t="n"/>
      <c r="B214" s="291" t="n"/>
      <c r="C214" s="94" t="n"/>
      <c r="D214" s="94" t="n"/>
      <c r="E214" s="94" t="n"/>
      <c r="F214" s="171" t="n"/>
      <c r="G214" s="169" t="n"/>
      <c r="H214" s="169" t="n"/>
      <c r="I214" s="169" t="n"/>
      <c r="J214" s="169" t="n"/>
      <c r="K214" s="169" t="n"/>
      <c r="L214" s="169" t="n"/>
      <c r="M214" s="169" t="n"/>
      <c r="N214" s="169" t="n"/>
      <c r="O214" s="169" t="n"/>
      <c r="P214" s="169" t="n"/>
      <c r="Q214" s="169" t="n"/>
      <c r="R214" s="169" t="n"/>
      <c r="S214" s="169" t="n"/>
      <c r="T214" s="169" t="n"/>
      <c r="U214" s="169" t="n"/>
      <c r="V214" s="169" t="n"/>
      <c r="W214" s="169" t="n"/>
      <c r="X214" s="169" t="n"/>
      <c r="Y214" s="169" t="n"/>
      <c r="Z214" s="169" t="n"/>
    </row>
    <row r="215">
      <c r="A215" s="125" t="n"/>
      <c r="B215" s="291" t="inlineStr">
        <is>
          <t>⬇︎従業員がいない場合</t>
        </is>
      </c>
      <c r="C215" s="94" t="n"/>
      <c r="D215" s="94" t="n"/>
      <c r="E215" s="94" t="n"/>
      <c r="F215" s="171" t="n"/>
      <c r="G215" s="169" t="n"/>
      <c r="H215" s="169" t="n"/>
      <c r="I215" s="169" t="n"/>
      <c r="J215" s="169" t="n"/>
      <c r="K215" s="169" t="n"/>
      <c r="L215" s="169" t="n"/>
      <c r="M215" s="169" t="n"/>
      <c r="N215" s="169" t="n"/>
      <c r="O215" s="169" t="n"/>
      <c r="P215" s="169" t="n"/>
      <c r="Q215" s="169" t="n"/>
      <c r="R215" s="169" t="n"/>
      <c r="S215" s="169" t="n"/>
      <c r="T215" s="169" t="n"/>
      <c r="U215" s="169" t="n"/>
      <c r="V215" s="169" t="n"/>
      <c r="W215" s="169" t="n"/>
      <c r="X215" s="169" t="n"/>
      <c r="Y215" s="169" t="n"/>
      <c r="Z215" s="169" t="n"/>
    </row>
    <row r="216" ht="6" customHeight="1" s="477">
      <c r="A216" s="200" t="n"/>
      <c r="B216" s="265" t="inlineStr">
        <is>
          <t>賃金引上げ計画期間内において、従業員を雇用する場合、上記の賃金引上げ計画を従業員へ表明を行いますか？</t>
        </is>
      </c>
      <c r="C216" s="298" t="inlineStr">
        <is>
          <t>■はい
□いいえ</t>
        </is>
      </c>
      <c r="D216" s="460" t="n"/>
      <c r="E216" s="159" t="n"/>
      <c r="F216" s="140" t="n"/>
      <c r="G216" s="462" t="n"/>
      <c r="H216" s="462" t="n"/>
      <c r="I216" s="462" t="n"/>
      <c r="J216" s="462" t="n"/>
      <c r="K216" s="462" t="n"/>
      <c r="L216" s="462" t="n"/>
      <c r="M216" s="462" t="n"/>
      <c r="N216" s="462" t="n"/>
      <c r="O216" s="462" t="n"/>
      <c r="P216" s="462" t="n"/>
      <c r="Q216" s="462" t="n"/>
      <c r="R216" s="462" t="n"/>
      <c r="S216" s="462" t="n"/>
      <c r="T216" s="462" t="n"/>
      <c r="U216" s="462" t="n"/>
      <c r="V216" s="462" t="n"/>
      <c r="W216" s="462" t="n"/>
      <c r="X216" s="462" t="n"/>
      <c r="Y216" s="462" t="n"/>
      <c r="Z216" s="462" t="n"/>
    </row>
    <row r="217">
      <c r="A217" s="200" t="n"/>
      <c r="B217" s="265" t="inlineStr">
        <is>
          <t>賃上げ幅を選択</t>
        </is>
      </c>
      <c r="C217" s="286" t="inlineStr">
        <is>
          <t>＋50円</t>
        </is>
      </c>
      <c r="D217" s="190" t="inlineStr">
        <is>
          <t>https://it-shien.smrj.go.jp/pdf/it2026_chingin_houkoku1_katen.xlsx</t>
        </is>
      </c>
      <c r="E217" s="159" t="n"/>
      <c r="F217" s="140" t="n"/>
      <c r="G217" s="462" t="n"/>
      <c r="H217" s="462" t="n"/>
      <c r="I217" s="462" t="n"/>
      <c r="J217" s="462" t="n"/>
      <c r="K217" s="462" t="n"/>
      <c r="L217" s="462" t="n"/>
      <c r="M217" s="462" t="n"/>
      <c r="N217" s="462" t="n"/>
      <c r="O217" s="462" t="n"/>
      <c r="P217" s="462" t="n"/>
      <c r="Q217" s="462" t="n"/>
      <c r="R217" s="462" t="n"/>
      <c r="S217" s="462" t="n"/>
      <c r="T217" s="462" t="n"/>
      <c r="U217" s="462" t="n"/>
      <c r="V217" s="462" t="n"/>
      <c r="W217" s="462" t="n"/>
      <c r="X217" s="462" t="n"/>
      <c r="Y217" s="462" t="n"/>
      <c r="Z217" s="462" t="n"/>
    </row>
    <row r="218">
      <c r="A218" s="125" t="n"/>
      <c r="B218" s="291" t="n"/>
      <c r="C218" s="94" t="n"/>
      <c r="D218" s="94" t="n"/>
      <c r="E218" s="94" t="n"/>
      <c r="F218" s="171" t="n"/>
      <c r="G218" s="169" t="n"/>
      <c r="H218" s="169" t="n"/>
      <c r="I218" s="169" t="n"/>
      <c r="J218" s="169" t="n"/>
      <c r="K218" s="169" t="n"/>
      <c r="L218" s="169" t="n"/>
      <c r="M218" s="169" t="n"/>
      <c r="N218" s="169" t="n"/>
      <c r="O218" s="169" t="n"/>
      <c r="P218" s="169" t="n"/>
      <c r="Q218" s="169" t="n"/>
      <c r="R218" s="169" t="n"/>
      <c r="S218" s="169" t="n"/>
      <c r="T218" s="169" t="n"/>
      <c r="U218" s="169" t="n"/>
      <c r="V218" s="169" t="n"/>
      <c r="W218" s="169" t="n"/>
      <c r="X218" s="169" t="n"/>
      <c r="Y218" s="169" t="n"/>
      <c r="Z218" s="169" t="n"/>
    </row>
    <row r="219">
      <c r="A219" s="125" t="n"/>
      <c r="B219" s="293" t="n"/>
      <c r="C219" s="125" t="n"/>
      <c r="D219" s="125" t="n"/>
      <c r="E219" s="125" t="n"/>
      <c r="F219" s="125" t="n"/>
      <c r="G219" s="169" t="n"/>
      <c r="H219" s="169" t="n"/>
      <c r="I219" s="169" t="n"/>
      <c r="J219" s="169" t="n"/>
      <c r="K219" s="169" t="n"/>
      <c r="L219" s="169" t="n"/>
      <c r="M219" s="169" t="n"/>
      <c r="N219" s="169" t="n"/>
      <c r="O219" s="169" t="n"/>
      <c r="P219" s="169" t="n"/>
      <c r="Q219" s="169" t="n"/>
      <c r="R219" s="169" t="n"/>
      <c r="S219" s="169" t="n"/>
      <c r="T219" s="169" t="n"/>
      <c r="U219" s="169" t="n"/>
      <c r="V219" s="169" t="n"/>
      <c r="W219" s="169" t="n"/>
      <c r="X219" s="169" t="n"/>
      <c r="Y219" s="169" t="n"/>
      <c r="Z219" s="169" t="n"/>
    </row>
    <row r="220">
      <c r="A220" s="125" t="n"/>
      <c r="B220" s="505" t="inlineStr">
        <is>
          <t>指定する一定期間における賃金状況について</t>
        </is>
      </c>
      <c r="F220" s="125" t="n"/>
      <c r="G220" s="169" t="n"/>
      <c r="H220" s="169" t="n"/>
      <c r="I220" s="169" t="n"/>
      <c r="J220" s="169" t="n"/>
      <c r="K220" s="169" t="n"/>
      <c r="L220" s="169" t="n"/>
      <c r="M220" s="169" t="n"/>
      <c r="N220" s="169" t="n"/>
      <c r="O220" s="169" t="n"/>
      <c r="P220" s="169" t="n"/>
      <c r="Q220" s="169" t="n"/>
      <c r="R220" s="169" t="n"/>
      <c r="S220" s="169" t="n"/>
      <c r="T220" s="169" t="n"/>
      <c r="U220" s="169" t="n"/>
      <c r="V220" s="169" t="n"/>
      <c r="W220" s="169" t="n"/>
      <c r="X220" s="169" t="n"/>
      <c r="Y220" s="169" t="n"/>
      <c r="Z220" s="169" t="n"/>
    </row>
    <row r="221">
      <c r="A221" s="69" t="n"/>
      <c r="B221" s="72" t="n"/>
      <c r="C221" s="73" t="n"/>
      <c r="D221" s="69" t="n"/>
      <c r="E221" s="73" t="n"/>
      <c r="F221" s="69" t="n"/>
      <c r="G221" s="462" t="n"/>
      <c r="H221" s="462" t="n"/>
      <c r="I221" s="462" t="n"/>
      <c r="J221" s="462" t="n"/>
      <c r="K221" s="462" t="n"/>
      <c r="L221" s="462" t="n"/>
      <c r="M221" s="462" t="n"/>
      <c r="N221" s="462" t="n"/>
      <c r="O221" s="462" t="n"/>
      <c r="P221" s="462" t="n"/>
      <c r="Q221" s="462" t="n"/>
      <c r="R221" s="462" t="n"/>
      <c r="S221" s="462" t="n"/>
      <c r="T221" s="462" t="n"/>
      <c r="U221" s="462" t="n"/>
      <c r="V221" s="462" t="n"/>
      <c r="W221" s="462" t="n"/>
      <c r="X221" s="462" t="n"/>
      <c r="Y221" s="462" t="n"/>
      <c r="Z221" s="462" t="n"/>
    </row>
    <row r="222">
      <c r="A222" s="125" t="n"/>
      <c r="B222" s="506" t="inlineStr">
        <is>
          <t>最低賃金近傍の従業員を多く抱える事業者※は加点
指定する一定期間（令和6年10月〜令和7年9月）において3ヶ月以上、令和7年度改定の地域別最低賃金未満で雇用していた従業員数が全従業員の30％以上である事業者</t>
        </is>
      </c>
      <c r="F222" s="125" t="n"/>
      <c r="G222" s="169" t="n"/>
      <c r="H222" s="169" t="n"/>
      <c r="I222" s="169" t="n"/>
      <c r="J222" s="169" t="n"/>
      <c r="K222" s="169" t="n"/>
      <c r="L222" s="169" t="n"/>
      <c r="M222" s="169" t="n"/>
      <c r="N222" s="169" t="n"/>
      <c r="O222" s="169" t="n"/>
      <c r="P222" s="169" t="n"/>
      <c r="Q222" s="169" t="n"/>
      <c r="R222" s="169" t="n"/>
      <c r="S222" s="169" t="n"/>
      <c r="T222" s="169" t="n"/>
      <c r="U222" s="169" t="n"/>
      <c r="V222" s="169" t="n"/>
      <c r="W222" s="169" t="n"/>
      <c r="X222" s="169" t="n"/>
      <c r="Y222" s="169" t="n"/>
      <c r="Z222" s="169" t="n"/>
    </row>
    <row r="223" ht="6" customHeight="1" s="477">
      <c r="A223" s="69" t="n"/>
      <c r="B223" s="72" t="n"/>
      <c r="C223" s="73" t="n"/>
      <c r="D223" s="69" t="n"/>
      <c r="E223" s="73" t="n"/>
      <c r="F223" s="69" t="n"/>
      <c r="G223" s="462" t="n"/>
      <c r="H223" s="462" t="n"/>
      <c r="I223" s="462" t="n"/>
      <c r="J223" s="462" t="n"/>
      <c r="K223" s="462" t="n"/>
      <c r="L223" s="462" t="n"/>
      <c r="M223" s="462" t="n"/>
      <c r="N223" s="462" t="n"/>
      <c r="O223" s="462" t="n"/>
      <c r="P223" s="462" t="n"/>
      <c r="Q223" s="462" t="n"/>
      <c r="R223" s="462" t="n"/>
      <c r="S223" s="462" t="n"/>
      <c r="T223" s="462" t="n"/>
      <c r="U223" s="462" t="n"/>
      <c r="V223" s="462" t="n"/>
      <c r="W223" s="462" t="n"/>
      <c r="X223" s="462" t="n"/>
      <c r="Y223" s="462" t="n"/>
      <c r="Z223" s="462" t="n"/>
    </row>
    <row r="224">
      <c r="A224" s="296" t="n"/>
      <c r="B224" s="309" t="inlineStr">
        <is>
          <t>指定する一定期間において、3ヶ月以上、R7年度改定の地域別最低賃金未満で雇用していた従業員数が全従業員の30%以上であり、加点を希望する</t>
        </is>
      </c>
      <c r="C224" s="482" t="n"/>
      <c r="D224" s="482" t="n"/>
      <c r="E224" s="510" t="n"/>
      <c r="F224" s="125" t="n"/>
      <c r="G224" s="169" t="n"/>
      <c r="H224" s="169" t="n"/>
      <c r="I224" s="169" t="n"/>
      <c r="J224" s="169" t="n"/>
      <c r="K224" s="169" t="n"/>
      <c r="L224" s="169" t="n"/>
      <c r="M224" s="169" t="n"/>
      <c r="N224" s="169" t="n"/>
      <c r="O224" s="169" t="n"/>
      <c r="P224" s="169" t="n"/>
      <c r="Q224" s="169" t="n"/>
      <c r="R224" s="169" t="n"/>
      <c r="S224" s="169" t="n"/>
      <c r="T224" s="169" t="n"/>
      <c r="U224" s="169" t="n"/>
      <c r="V224" s="169" t="n"/>
      <c r="W224" s="169" t="n"/>
      <c r="X224" s="169" t="n"/>
      <c r="Y224" s="169" t="n"/>
      <c r="Z224" s="169" t="n"/>
    </row>
    <row r="225" ht="6" customHeight="1" s="477">
      <c r="A225" s="69" t="n"/>
      <c r="B225" s="72" t="n"/>
      <c r="C225" s="73" t="n"/>
      <c r="D225" s="69" t="n"/>
      <c r="E225" s="73" t="n"/>
      <c r="F225" s="69" t="n"/>
      <c r="G225" s="462" t="n"/>
      <c r="H225" s="462" t="n"/>
      <c r="I225" s="462" t="n"/>
      <c r="J225" s="462" t="n"/>
      <c r="K225" s="462" t="n"/>
      <c r="L225" s="462" t="n"/>
      <c r="M225" s="462" t="n"/>
      <c r="N225" s="462" t="n"/>
      <c r="O225" s="462" t="n"/>
      <c r="P225" s="462" t="n"/>
      <c r="Q225" s="462" t="n"/>
      <c r="R225" s="462" t="n"/>
      <c r="S225" s="462" t="n"/>
      <c r="T225" s="462" t="n"/>
      <c r="U225" s="462" t="n"/>
      <c r="V225" s="462" t="n"/>
      <c r="W225" s="462" t="n"/>
      <c r="X225" s="462" t="n"/>
      <c r="Y225" s="462" t="n"/>
      <c r="Z225" s="462" t="n"/>
    </row>
    <row r="226">
      <c r="A226" s="300" t="n"/>
      <c r="B226" s="222" t="inlineStr">
        <is>
          <t>ファイル添付</t>
        </is>
      </c>
      <c r="C226" s="310" t="inlineStr">
        <is>
          <t>HPから様式「賃金状況報告シート（加点措置①用）」をDL
必要事項を入力のうえ、提出</t>
        </is>
      </c>
      <c r="D226" s="302" t="inlineStr">
        <is>
          <t>【DLリンク】賃金状況報告シート（加点措置①用）</t>
        </is>
      </c>
      <c r="E226" s="303" t="n"/>
      <c r="F226" s="171" t="n"/>
      <c r="G226" s="171" t="n"/>
      <c r="H226" s="169" t="n"/>
      <c r="I226" s="169" t="n"/>
      <c r="J226" s="169" t="n"/>
      <c r="K226" s="169" t="n"/>
      <c r="L226" s="169" t="n"/>
      <c r="M226" s="169" t="n"/>
      <c r="N226" s="169" t="n"/>
      <c r="O226" s="169" t="n"/>
      <c r="P226" s="169" t="n"/>
      <c r="Q226" s="169" t="n"/>
      <c r="R226" s="169" t="n"/>
      <c r="S226" s="169" t="n"/>
      <c r="T226" s="169" t="n"/>
      <c r="U226" s="169" t="n"/>
      <c r="V226" s="169" t="n"/>
      <c r="W226" s="169" t="n"/>
      <c r="X226" s="169" t="n"/>
      <c r="Y226" s="169" t="n"/>
      <c r="Z226" s="169" t="n"/>
    </row>
    <row r="227" ht="6" customHeight="1" s="477">
      <c r="A227" s="125" t="n"/>
      <c r="B227" s="125" t="n"/>
      <c r="C227" s="304" t="inlineStr">
        <is>
          <t>※事務局による審査において、入力内容を確認し、追加の証憑（賃金台帳等）の提出をお願いする場合あり。</t>
        </is>
      </c>
      <c r="D227" s="125" t="n"/>
      <c r="E227" s="125" t="n"/>
      <c r="F227" s="125" t="n"/>
      <c r="G227" s="169" t="n"/>
      <c r="H227" s="169" t="n"/>
      <c r="I227" s="169" t="n"/>
      <c r="J227" s="169" t="n"/>
      <c r="K227" s="169" t="n"/>
      <c r="L227" s="169" t="n"/>
      <c r="M227" s="169" t="n"/>
      <c r="N227" s="169" t="n"/>
      <c r="O227" s="169" t="n"/>
      <c r="P227" s="169" t="n"/>
      <c r="Q227" s="169" t="n"/>
      <c r="R227" s="169" t="n"/>
      <c r="S227" s="169" t="n"/>
      <c r="T227" s="169" t="n"/>
      <c r="U227" s="169" t="n"/>
      <c r="V227" s="169" t="n"/>
      <c r="W227" s="169" t="n"/>
      <c r="X227" s="169" t="n"/>
      <c r="Y227" s="169" t="n"/>
      <c r="Z227" s="169" t="n"/>
    </row>
    <row r="228">
      <c r="A228" s="125" t="n"/>
      <c r="B228" s="293" t="n"/>
      <c r="C228" s="125" t="n"/>
      <c r="D228" s="125" t="inlineStr">
        <is>
          <t>https://it-shien.smrj.go.jp/pdf/it2026_chingin_houkoku2_katen.xlsx</t>
        </is>
      </c>
      <c r="E228" s="125" t="n"/>
      <c r="F228" s="125" t="n"/>
      <c r="G228" s="169" t="n"/>
      <c r="H228" s="169" t="n"/>
      <c r="I228" s="169" t="n"/>
      <c r="J228" s="169" t="n"/>
      <c r="K228" s="169" t="n"/>
      <c r="L228" s="169" t="n"/>
      <c r="M228" s="169" t="n"/>
      <c r="N228" s="169" t="n"/>
      <c r="O228" s="169" t="n"/>
      <c r="P228" s="169" t="n"/>
      <c r="Q228" s="169" t="n"/>
      <c r="R228" s="169" t="n"/>
      <c r="S228" s="169" t="n"/>
      <c r="T228" s="169" t="n"/>
      <c r="U228" s="169" t="n"/>
      <c r="V228" s="169" t="n"/>
      <c r="W228" s="169" t="n"/>
      <c r="X228" s="169" t="n"/>
      <c r="Y228" s="169" t="n"/>
      <c r="Z228" s="169" t="n"/>
    </row>
    <row r="229">
      <c r="A229" s="125" t="n"/>
      <c r="B229" s="305" t="inlineStr">
        <is>
          <t>『  次へ  』</t>
        </is>
      </c>
      <c r="C229" s="73" t="inlineStr">
        <is>
          <t>をクリック</t>
        </is>
      </c>
      <c r="D229" s="125" t="n"/>
      <c r="E229" s="125" t="n"/>
      <c r="F229" s="125" t="n"/>
      <c r="G229" s="169" t="n"/>
      <c r="H229" s="169" t="n"/>
      <c r="I229" s="169" t="n"/>
      <c r="J229" s="169" t="n"/>
      <c r="K229" s="169" t="n"/>
      <c r="L229" s="169" t="n"/>
      <c r="M229" s="169" t="n"/>
      <c r="N229" s="169" t="n"/>
      <c r="O229" s="169" t="n"/>
      <c r="P229" s="169" t="n"/>
      <c r="Q229" s="169" t="n"/>
      <c r="R229" s="169" t="n"/>
      <c r="S229" s="169" t="n"/>
      <c r="T229" s="169" t="n"/>
      <c r="U229" s="169" t="n"/>
      <c r="V229" s="169" t="n"/>
      <c r="W229" s="169" t="n"/>
      <c r="X229" s="169" t="n"/>
      <c r="Y229" s="169" t="n"/>
      <c r="Z229" s="169" t="n"/>
    </row>
    <row r="230" ht="6" customHeight="1" s="477">
      <c r="A230" s="125" t="n"/>
      <c r="B230" s="291" t="n"/>
      <c r="C230" s="306" t="n"/>
      <c r="D230" s="94" t="n"/>
      <c r="E230" s="94" t="n"/>
      <c r="F230" s="171" t="n"/>
      <c r="G230" s="169" t="n"/>
      <c r="H230" s="169" t="n"/>
      <c r="I230" s="169" t="n"/>
      <c r="J230" s="169" t="n"/>
      <c r="K230" s="169" t="n"/>
      <c r="L230" s="169" t="n"/>
      <c r="M230" s="169" t="n"/>
      <c r="N230" s="169" t="n"/>
      <c r="O230" s="169" t="n"/>
      <c r="P230" s="169" t="n"/>
      <c r="Q230" s="169" t="n"/>
      <c r="R230" s="169" t="n"/>
      <c r="S230" s="169" t="n"/>
      <c r="T230" s="169" t="n"/>
      <c r="U230" s="169" t="n"/>
      <c r="V230" s="169" t="n"/>
      <c r="W230" s="169" t="n"/>
      <c r="X230" s="169" t="n"/>
      <c r="Y230" s="169" t="n"/>
      <c r="Z230" s="169" t="n"/>
    </row>
    <row r="231" ht="25.5" customHeight="1" s="477">
      <c r="A231" s="125" t="n"/>
      <c r="B231" s="505" t="inlineStr">
        <is>
          <t>事業実施年度内における賃金状況について</t>
        </is>
      </c>
      <c r="F231" s="125" t="n"/>
      <c r="G231" s="169" t="n"/>
      <c r="H231" s="169" t="n"/>
      <c r="I231" s="169" t="n"/>
      <c r="J231" s="169" t="n"/>
      <c r="K231" s="169" t="n"/>
      <c r="L231" s="169" t="n"/>
      <c r="M231" s="169" t="n"/>
      <c r="N231" s="169" t="n"/>
      <c r="O231" s="169" t="n"/>
      <c r="P231" s="169" t="n"/>
      <c r="Q231" s="169" t="n"/>
      <c r="R231" s="169" t="n"/>
      <c r="S231" s="169" t="n"/>
      <c r="T231" s="169" t="n"/>
      <c r="U231" s="169" t="n"/>
      <c r="V231" s="169" t="n"/>
      <c r="W231" s="169" t="n"/>
      <c r="X231" s="169" t="n"/>
      <c r="Y231" s="169" t="n"/>
      <c r="Z231" s="169" t="n"/>
    </row>
    <row r="232">
      <c r="A232" s="69" t="n"/>
      <c r="B232" s="72" t="n"/>
      <c r="C232" s="73" t="n"/>
      <c r="D232" s="69" t="n"/>
      <c r="E232" s="73" t="n"/>
      <c r="F232" s="69" t="n"/>
      <c r="G232" s="462" t="n"/>
      <c r="H232" s="462" t="n"/>
      <c r="I232" s="462" t="n"/>
      <c r="J232" s="462" t="n"/>
      <c r="K232" s="462" t="n"/>
      <c r="L232" s="462" t="n"/>
      <c r="M232" s="462" t="n"/>
      <c r="N232" s="462" t="n"/>
      <c r="O232" s="462" t="n"/>
      <c r="P232" s="462" t="n"/>
      <c r="Q232" s="462" t="n"/>
      <c r="R232" s="462" t="n"/>
      <c r="S232" s="462" t="n"/>
      <c r="T232" s="462" t="n"/>
      <c r="U232" s="462" t="n"/>
      <c r="V232" s="462" t="n"/>
      <c r="W232" s="462" t="n"/>
      <c r="X232" s="462" t="n"/>
      <c r="Y232" s="462" t="n"/>
      <c r="Z232" s="462" t="n"/>
    </row>
    <row r="233">
      <c r="A233" s="125" t="n"/>
      <c r="B233" s="506" t="inlineStr">
        <is>
          <t>交付申請の直近月における事業場内最低賃金を令和7年7月の事業場内最低賃金+63円以上の水準にした事業者については、加点となります。
要件に合致していて加点を希望する場合は、賃金状況報告シート（加点措置②用）を提出してください。</t>
        </is>
      </c>
      <c r="F233" s="125" t="n"/>
      <c r="G233" s="169" t="n"/>
      <c r="H233" s="169" t="n"/>
      <c r="I233" s="169" t="n"/>
      <c r="J233" s="169" t="n"/>
      <c r="K233" s="169" t="n"/>
      <c r="L233" s="169" t="n"/>
      <c r="M233" s="169" t="n"/>
      <c r="N233" s="169" t="n"/>
      <c r="O233" s="169" t="n"/>
      <c r="P233" s="169" t="n"/>
      <c r="Q233" s="169" t="n"/>
      <c r="R233" s="169" t="n"/>
      <c r="S233" s="169" t="n"/>
      <c r="T233" s="169" t="n"/>
      <c r="U233" s="169" t="n"/>
      <c r="V233" s="169" t="n"/>
      <c r="W233" s="169" t="n"/>
      <c r="X233" s="169" t="n"/>
      <c r="Y233" s="169" t="n"/>
      <c r="Z233" s="169" t="n"/>
    </row>
    <row r="234" ht="6" customHeight="1" s="477">
      <c r="A234" s="69" t="n"/>
      <c r="B234" s="72" t="n"/>
      <c r="C234" s="73" t="n"/>
      <c r="D234" s="69" t="n"/>
      <c r="E234" s="73" t="n"/>
      <c r="F234" s="69" t="n"/>
      <c r="G234" s="462" t="n"/>
      <c r="H234" s="462" t="n"/>
      <c r="I234" s="462" t="n"/>
      <c r="J234" s="462" t="n"/>
      <c r="K234" s="462" t="n"/>
      <c r="L234" s="462" t="n"/>
      <c r="M234" s="462" t="n"/>
      <c r="N234" s="462" t="n"/>
      <c r="O234" s="462" t="n"/>
      <c r="P234" s="462" t="n"/>
      <c r="Q234" s="462" t="n"/>
      <c r="R234" s="462" t="n"/>
      <c r="S234" s="462" t="n"/>
      <c r="T234" s="462" t="n"/>
      <c r="U234" s="462" t="n"/>
      <c r="V234" s="462" t="n"/>
      <c r="W234" s="462" t="n"/>
      <c r="X234" s="462" t="n"/>
      <c r="Y234" s="462" t="n"/>
      <c r="Z234" s="462" t="n"/>
    </row>
    <row r="235">
      <c r="A235" s="296" t="n"/>
      <c r="B235" s="309" t="inlineStr">
        <is>
          <t>「交付申請の直近月における事業場内最低賃金」を「R7.7事業場内最低賃金」+63円以上の
水準にしましたか。</t>
        </is>
      </c>
      <c r="C235" s="298" t="inlineStr">
        <is>
          <t>□はい
□いいえ</t>
        </is>
      </c>
      <c r="D235" s="299" t="n"/>
      <c r="E235" s="299" t="n"/>
      <c r="F235" s="125" t="n"/>
      <c r="G235" s="169" t="n"/>
      <c r="H235" s="169" t="n"/>
      <c r="I235" s="169" t="n"/>
      <c r="J235" s="169" t="n"/>
      <c r="K235" s="169" t="n"/>
      <c r="L235" s="169" t="n"/>
      <c r="M235" s="169" t="n"/>
      <c r="N235" s="169" t="n"/>
      <c r="O235" s="169" t="n"/>
      <c r="P235" s="169" t="n"/>
      <c r="Q235" s="169" t="n"/>
      <c r="R235" s="169" t="n"/>
      <c r="S235" s="169" t="n"/>
      <c r="T235" s="169" t="n"/>
      <c r="U235" s="169" t="n"/>
      <c r="V235" s="169" t="n"/>
      <c r="W235" s="169" t="n"/>
      <c r="X235" s="169" t="n"/>
      <c r="Y235" s="169" t="n"/>
      <c r="Z235" s="169" t="n"/>
    </row>
    <row r="236" ht="6" customHeight="1" s="477">
      <c r="A236" s="69" t="n"/>
      <c r="B236" s="72" t="n"/>
      <c r="C236" s="73" t="n"/>
      <c r="D236" s="69" t="n"/>
      <c r="E236" s="73" t="n"/>
      <c r="F236" s="69" t="n"/>
      <c r="G236" s="462" t="n"/>
      <c r="H236" s="462" t="n"/>
      <c r="I236" s="462" t="n"/>
      <c r="J236" s="462" t="n"/>
      <c r="K236" s="462" t="n"/>
      <c r="L236" s="462" t="n"/>
      <c r="M236" s="462" t="n"/>
      <c r="N236" s="462" t="n"/>
      <c r="O236" s="462" t="n"/>
      <c r="P236" s="462" t="n"/>
      <c r="Q236" s="462" t="n"/>
      <c r="R236" s="462" t="n"/>
      <c r="S236" s="462" t="n"/>
      <c r="T236" s="462" t="n"/>
      <c r="U236" s="462" t="n"/>
      <c r="V236" s="462" t="n"/>
      <c r="W236" s="462" t="n"/>
      <c r="X236" s="462" t="n"/>
      <c r="Y236" s="462" t="n"/>
      <c r="Z236" s="462" t="n"/>
    </row>
    <row r="237" ht="25.5" customHeight="1" s="477">
      <c r="A237" s="300" t="n"/>
      <c r="B237" s="222" t="inlineStr">
        <is>
          <t>ファイル添付</t>
        </is>
      </c>
      <c r="C237" s="310" t="inlineStr">
        <is>
          <t>HPから様式「賃金状況報告シート（加点措置②用）」をDL
必要事項を入力のうえ、提出</t>
        </is>
      </c>
      <c r="D237" s="302" t="inlineStr">
        <is>
          <t>【DLリンク】賃金状況報告シート（加点措置②用）</t>
        </is>
      </c>
      <c r="E237" s="303" t="n"/>
      <c r="F237" s="171" t="n"/>
      <c r="G237" s="171" t="n"/>
      <c r="H237" s="169" t="n"/>
      <c r="I237" s="169" t="n"/>
      <c r="J237" s="169" t="n"/>
      <c r="K237" s="169" t="n"/>
      <c r="L237" s="169" t="n"/>
      <c r="M237" s="169" t="n"/>
      <c r="N237" s="169" t="n"/>
      <c r="O237" s="169" t="n"/>
      <c r="P237" s="169" t="n"/>
      <c r="Q237" s="169" t="n"/>
      <c r="R237" s="169" t="n"/>
      <c r="S237" s="169" t="n"/>
      <c r="T237" s="169" t="n"/>
      <c r="U237" s="169" t="n"/>
      <c r="V237" s="169" t="n"/>
      <c r="W237" s="169" t="n"/>
      <c r="X237" s="169" t="n"/>
      <c r="Y237" s="169" t="n"/>
      <c r="Z237" s="169" t="n"/>
    </row>
    <row r="238">
      <c r="A238" s="125" t="n"/>
      <c r="B238" s="125" t="n"/>
      <c r="C238" s="304" t="inlineStr">
        <is>
          <t>※事務局による審査において、入力内容を確認し、追加の証憑（賃金台帳等）の提出をお願いする場合あり。</t>
        </is>
      </c>
      <c r="D238" s="125" t="n"/>
      <c r="E238" s="125" t="n"/>
      <c r="F238" s="125" t="n"/>
      <c r="G238" s="169" t="n"/>
      <c r="H238" s="169" t="n"/>
      <c r="I238" s="169" t="n"/>
      <c r="J238" s="169" t="n"/>
      <c r="K238" s="169" t="n"/>
      <c r="L238" s="169" t="n"/>
      <c r="M238" s="169" t="n"/>
      <c r="N238" s="169" t="n"/>
      <c r="O238" s="169" t="n"/>
      <c r="P238" s="169" t="n"/>
      <c r="Q238" s="169" t="n"/>
      <c r="R238" s="169" t="n"/>
      <c r="S238" s="169" t="n"/>
      <c r="T238" s="169" t="n"/>
      <c r="U238" s="169" t="n"/>
      <c r="V238" s="169" t="n"/>
      <c r="W238" s="169" t="n"/>
      <c r="X238" s="169" t="n"/>
      <c r="Y238" s="169" t="n"/>
      <c r="Z238" s="169" t="n"/>
    </row>
    <row r="239">
      <c r="A239" s="69" t="n"/>
      <c r="B239" s="72" t="n"/>
      <c r="F239" s="69" t="n"/>
      <c r="G239" s="462" t="n"/>
      <c r="H239" s="462" t="n"/>
      <c r="I239" s="462" t="n"/>
      <c r="J239" s="462" t="n"/>
      <c r="K239" s="462" t="n"/>
      <c r="L239" s="462" t="n"/>
      <c r="M239" s="462" t="n"/>
      <c r="N239" s="462" t="n"/>
      <c r="O239" s="462" t="n"/>
      <c r="P239" s="462" t="n"/>
      <c r="Q239" s="462" t="n"/>
      <c r="R239" s="462" t="n"/>
      <c r="S239" s="462" t="n"/>
      <c r="T239" s="462" t="n"/>
      <c r="U239" s="462" t="n"/>
      <c r="V239" s="462" t="n"/>
      <c r="W239" s="462" t="n"/>
      <c r="X239" s="462" t="n"/>
      <c r="Y239" s="462" t="n"/>
      <c r="Z239" s="462" t="n"/>
    </row>
    <row r="240" ht="6" customHeight="1" s="477">
      <c r="A240" s="69" t="n"/>
      <c r="B240" s="141" t="inlineStr">
        <is>
          <t>『  次へ  』</t>
        </is>
      </c>
      <c r="C240" s="142" t="inlineStr">
        <is>
          <t>をクリック</t>
        </is>
      </c>
      <c r="D240" s="73" t="n"/>
      <c r="E240" s="73" t="n"/>
      <c r="F240" s="69" t="n"/>
    </row>
    <row r="241">
      <c r="A241" s="260" t="n"/>
      <c r="B241" s="261" t="n"/>
      <c r="C241" s="247" t="n"/>
      <c r="D241" s="123" t="n"/>
      <c r="E241" s="248" t="n"/>
      <c r="F241" s="140" t="n"/>
      <c r="G241" s="462" t="n"/>
      <c r="H241" s="462" t="n"/>
      <c r="I241" s="462" t="n"/>
      <c r="J241" s="462" t="n"/>
      <c r="K241" s="462" t="n"/>
      <c r="L241" s="462" t="n"/>
      <c r="M241" s="462" t="n"/>
      <c r="N241" s="462" t="n"/>
      <c r="O241" s="462" t="n"/>
      <c r="P241" s="462" t="n"/>
      <c r="Q241" s="462" t="n"/>
      <c r="R241" s="462" t="n"/>
      <c r="S241" s="462" t="n"/>
      <c r="T241" s="462" t="n"/>
      <c r="U241" s="462" t="n"/>
      <c r="V241" s="462" t="n"/>
      <c r="W241" s="462" t="n"/>
      <c r="X241" s="462" t="n"/>
      <c r="Y241" s="462" t="n"/>
      <c r="Z241" s="462" t="n"/>
    </row>
    <row r="242" ht="6" customHeight="1" s="477">
      <c r="A242" s="69" t="n"/>
      <c r="B242" s="497" t="inlineStr">
        <is>
          <t>最終確認確認</t>
        </is>
      </c>
      <c r="F242" s="69" t="n"/>
      <c r="G242" s="462" t="n"/>
      <c r="H242" s="462" t="n"/>
      <c r="I242" s="462" t="n"/>
      <c r="J242" s="462" t="n"/>
      <c r="K242" s="462" t="n"/>
      <c r="L242" s="462" t="n"/>
      <c r="M242" s="462" t="n"/>
      <c r="N242" s="462" t="n"/>
      <c r="O242" s="462" t="n"/>
      <c r="P242" s="462" t="n"/>
      <c r="Q242" s="462" t="n"/>
      <c r="R242" s="462" t="n"/>
      <c r="S242" s="462" t="n"/>
      <c r="T242" s="462" t="n"/>
      <c r="U242" s="462" t="n"/>
      <c r="V242" s="462" t="n"/>
      <c r="W242" s="462" t="n"/>
      <c r="X242" s="462" t="n"/>
      <c r="Y242" s="462" t="n"/>
      <c r="Z242" s="462" t="n"/>
    </row>
    <row r="243" ht="25.5" customHeight="1" s="477">
      <c r="A243" s="69" t="n"/>
      <c r="B243" s="72" t="n"/>
      <c r="C243" s="73" t="n"/>
      <c r="D243" s="69" t="n"/>
      <c r="E243" s="73" t="n"/>
      <c r="F243" s="69" t="n"/>
      <c r="G243" s="462" t="n"/>
      <c r="H243" s="462" t="n"/>
      <c r="I243" s="462" t="n"/>
      <c r="J243" s="462" t="n"/>
      <c r="K243" s="462" t="n"/>
      <c r="L243" s="462" t="n"/>
      <c r="M243" s="462" t="n"/>
      <c r="N243" s="462" t="n"/>
      <c r="O243" s="462" t="n"/>
      <c r="P243" s="462" t="n"/>
      <c r="Q243" s="462" t="n"/>
      <c r="R243" s="462" t="n"/>
      <c r="S243" s="462" t="n"/>
      <c r="T243" s="462" t="n"/>
      <c r="U243" s="462" t="n"/>
      <c r="V243" s="462" t="n"/>
      <c r="W243" s="462" t="n"/>
      <c r="X243" s="462" t="n"/>
      <c r="Y243" s="462" t="n"/>
      <c r="Z243" s="462" t="n"/>
    </row>
    <row r="244">
      <c r="A244" s="69" t="n"/>
      <c r="B244" s="72" t="inlineStr">
        <is>
          <t>内容確認し一番下に✅を入れてもらう</t>
        </is>
      </c>
      <c r="C244" s="73" t="n"/>
      <c r="D244" s="69" t="n"/>
      <c r="E244" s="73" t="n"/>
      <c r="F244" s="69" t="n"/>
      <c r="G244" s="69" t="n"/>
      <c r="H244" s="462" t="n"/>
      <c r="I244" s="462" t="n"/>
      <c r="J244" s="462" t="n"/>
      <c r="K244" s="462" t="n"/>
      <c r="L244" s="462" t="n"/>
      <c r="M244" s="462" t="n"/>
      <c r="N244" s="462" t="n"/>
      <c r="O244" s="462" t="n"/>
      <c r="P244" s="462" t="n"/>
      <c r="Q244" s="462" t="n"/>
      <c r="R244" s="462" t="n"/>
      <c r="S244" s="462" t="n"/>
      <c r="T244" s="462" t="n"/>
      <c r="U244" s="462" t="n"/>
      <c r="V244" s="462" t="n"/>
      <c r="W244" s="462" t="n"/>
      <c r="X244" s="462" t="n"/>
      <c r="Y244" s="462" t="n"/>
      <c r="Z244" s="462" t="n"/>
    </row>
    <row r="245">
      <c r="A245" s="69" t="n"/>
      <c r="B245" s="72" t="n"/>
      <c r="C245" s="73" t="n"/>
      <c r="D245" s="69" t="n"/>
      <c r="E245" s="73" t="n"/>
      <c r="F245" s="69" t="n"/>
      <c r="G245" s="462" t="n"/>
      <c r="H245" s="462" t="n"/>
      <c r="I245" s="462" t="n"/>
      <c r="J245" s="462" t="n"/>
      <c r="K245" s="462" t="n"/>
      <c r="L245" s="462" t="n"/>
      <c r="M245" s="462" t="n"/>
      <c r="N245" s="462" t="n"/>
      <c r="O245" s="462" t="n"/>
      <c r="P245" s="462" t="n"/>
      <c r="Q245" s="462" t="n"/>
      <c r="R245" s="462" t="n"/>
      <c r="S245" s="462" t="n"/>
      <c r="T245" s="462" t="n"/>
      <c r="U245" s="462" t="n"/>
      <c r="V245" s="462" t="n"/>
      <c r="W245" s="462" t="n"/>
      <c r="X245" s="462" t="n"/>
      <c r="Y245" s="462" t="n"/>
      <c r="Z245" s="462" t="n"/>
    </row>
    <row r="246">
      <c r="A246" s="69" t="n"/>
      <c r="B246" s="141" t="inlineStr">
        <is>
          <t>『  次へ  』</t>
        </is>
      </c>
      <c r="C246" s="142" t="inlineStr">
        <is>
          <t>をクリック</t>
        </is>
      </c>
      <c r="D246" s="73" t="n"/>
      <c r="E246" s="73" t="n"/>
      <c r="F246" s="69" t="n"/>
    </row>
    <row r="247">
      <c r="A247" s="69" t="n"/>
      <c r="B247" s="72" t="n"/>
      <c r="C247" s="73" t="n"/>
      <c r="D247" s="69" t="n"/>
      <c r="E247" s="73" t="n"/>
      <c r="F247" s="69" t="n"/>
      <c r="G247" s="69" t="n"/>
      <c r="H247" s="462" t="n"/>
      <c r="I247" s="462" t="n"/>
      <c r="J247" s="462" t="n"/>
      <c r="K247" s="462" t="n"/>
      <c r="L247" s="462" t="n"/>
      <c r="M247" s="462" t="n"/>
      <c r="N247" s="462" t="n"/>
      <c r="O247" s="462" t="n"/>
      <c r="P247" s="462" t="n"/>
      <c r="Q247" s="462" t="n"/>
      <c r="R247" s="462" t="n"/>
      <c r="S247" s="462" t="n"/>
      <c r="T247" s="462" t="n"/>
      <c r="U247" s="462" t="n"/>
      <c r="V247" s="462" t="n"/>
      <c r="W247" s="462" t="n"/>
      <c r="X247" s="462" t="n"/>
      <c r="Y247" s="462" t="n"/>
      <c r="Z247" s="462" t="n"/>
    </row>
    <row r="248">
      <c r="A248" s="69" t="n"/>
      <c r="B248" s="497" t="inlineStr">
        <is>
          <t>認証コード</t>
        </is>
      </c>
      <c r="F248" s="69" t="n"/>
      <c r="G248" s="462" t="n"/>
      <c r="H248" s="462" t="n"/>
      <c r="I248" s="462" t="n"/>
      <c r="J248" s="462" t="n"/>
      <c r="K248" s="462" t="n"/>
      <c r="L248" s="462" t="n"/>
      <c r="M248" s="462" t="n"/>
      <c r="N248" s="462" t="n"/>
      <c r="O248" s="462" t="n"/>
      <c r="P248" s="462" t="n"/>
      <c r="Q248" s="462" t="n"/>
      <c r="R248" s="462" t="n"/>
      <c r="S248" s="462" t="n"/>
      <c r="T248" s="462" t="n"/>
      <c r="U248" s="462" t="n"/>
      <c r="V248" s="462" t="n"/>
      <c r="W248" s="462" t="n"/>
      <c r="X248" s="462" t="n"/>
      <c r="Y248" s="462" t="n"/>
      <c r="Z248" s="462" t="n"/>
    </row>
    <row r="249">
      <c r="A249" s="69" t="n"/>
      <c r="B249" s="72" t="n"/>
      <c r="C249" s="73" t="n"/>
      <c r="D249" s="69" t="n"/>
      <c r="E249" s="73" t="n"/>
      <c r="F249" s="69" t="n"/>
      <c r="G249" s="462" t="n"/>
      <c r="H249" s="462" t="n"/>
      <c r="I249" s="462" t="n"/>
      <c r="J249" s="462" t="n"/>
      <c r="K249" s="462" t="n"/>
      <c r="L249" s="462" t="n"/>
      <c r="M249" s="462" t="n"/>
      <c r="N249" s="462" t="n"/>
      <c r="O249" s="462" t="n"/>
      <c r="P249" s="462" t="n"/>
      <c r="Q249" s="462" t="n"/>
      <c r="R249" s="462" t="n"/>
      <c r="S249" s="462" t="n"/>
      <c r="T249" s="462" t="n"/>
      <c r="U249" s="462" t="n"/>
      <c r="V249" s="462" t="n"/>
      <c r="W249" s="462" t="n"/>
      <c r="X249" s="462" t="n"/>
      <c r="Y249" s="462" t="n"/>
      <c r="Z249" s="462" t="n"/>
    </row>
    <row r="250">
      <c r="A250" s="125" t="n"/>
      <c r="B250" s="310" t="inlineStr">
        <is>
          <t>「認証コードを発行する」をクリックし、携帯に届く5桁の数字を入力</t>
        </is>
      </c>
      <c r="C250" s="311" t="n"/>
      <c r="D250" s="125" t="n"/>
      <c r="E250" s="125" t="n"/>
      <c r="F250" s="125" t="n"/>
      <c r="G250" s="125" t="n"/>
      <c r="H250" s="169" t="n"/>
      <c r="I250" s="169" t="n"/>
      <c r="J250" s="169" t="n"/>
      <c r="K250" s="169" t="n"/>
      <c r="L250" s="169" t="n"/>
      <c r="M250" s="169" t="n"/>
      <c r="N250" s="169" t="n"/>
      <c r="O250" s="169" t="n"/>
      <c r="P250" s="169" t="n"/>
      <c r="Q250" s="169" t="n"/>
      <c r="R250" s="169" t="n"/>
      <c r="S250" s="169" t="n"/>
      <c r="T250" s="169" t="n"/>
      <c r="U250" s="169" t="n"/>
      <c r="V250" s="169" t="n"/>
      <c r="W250" s="169" t="n"/>
      <c r="X250" s="169" t="n"/>
      <c r="Y250" s="169" t="n"/>
      <c r="Z250" s="169" t="n"/>
    </row>
    <row r="251">
      <c r="A251" s="69" t="n"/>
      <c r="B251" s="72" t="n"/>
      <c r="C251" s="73" t="n"/>
      <c r="D251" s="69" t="n"/>
      <c r="E251" s="73" t="n"/>
      <c r="F251" s="69" t="n"/>
      <c r="G251" s="462" t="n"/>
      <c r="H251" s="462" t="n"/>
      <c r="I251" s="462" t="n"/>
      <c r="J251" s="462" t="n"/>
      <c r="K251" s="462" t="n"/>
      <c r="L251" s="462" t="n"/>
      <c r="M251" s="462" t="n"/>
      <c r="N251" s="462" t="n"/>
      <c r="O251" s="462" t="n"/>
      <c r="P251" s="462" t="n"/>
      <c r="Q251" s="462" t="n"/>
      <c r="R251" s="462" t="n"/>
      <c r="S251" s="462" t="n"/>
      <c r="T251" s="462" t="n"/>
      <c r="U251" s="462" t="n"/>
      <c r="V251" s="462" t="n"/>
      <c r="W251" s="462" t="n"/>
      <c r="X251" s="462" t="n"/>
      <c r="Y251" s="462" t="n"/>
      <c r="Z251" s="462" t="n"/>
    </row>
    <row r="252">
      <c r="A252" s="69" t="n"/>
      <c r="B252" s="141" t="inlineStr">
        <is>
          <t>『  事務局へ提出  』</t>
        </is>
      </c>
      <c r="C252" s="142" t="inlineStr">
        <is>
          <t>をクリック</t>
        </is>
      </c>
      <c r="D252" s="73" t="n"/>
      <c r="E252" s="73" t="n"/>
      <c r="F252" s="69" t="n"/>
    </row>
    <row r="253">
      <c r="A253" s="69" t="n"/>
      <c r="B253" s="72" t="n"/>
      <c r="C253" s="73" t="n"/>
      <c r="D253" s="69" t="n"/>
      <c r="E253" s="73" t="n"/>
      <c r="F253" s="69" t="n"/>
      <c r="G253" s="69" t="n"/>
      <c r="H253" s="462" t="n"/>
      <c r="I253" s="462" t="n"/>
      <c r="J253" s="462" t="n"/>
      <c r="K253" s="462" t="n"/>
      <c r="L253" s="462" t="n"/>
      <c r="M253" s="462" t="n"/>
      <c r="N253" s="462" t="n"/>
      <c r="O253" s="462" t="n"/>
      <c r="P253" s="462" t="n"/>
      <c r="Q253" s="462" t="n"/>
      <c r="R253" s="462" t="n"/>
      <c r="S253" s="462" t="n"/>
      <c r="T253" s="462" t="n"/>
      <c r="U253" s="462" t="n"/>
      <c r="V253" s="462" t="n"/>
      <c r="W253" s="462" t="n"/>
      <c r="X253" s="462" t="n"/>
      <c r="Y253" s="462" t="n"/>
      <c r="Z253" s="462" t="n"/>
    </row>
    <row r="254">
      <c r="A254" s="69" t="n"/>
      <c r="B254" s="72" t="inlineStr">
        <is>
          <t>『提出完了しました』</t>
        </is>
      </c>
      <c r="C254" s="73" t="n"/>
      <c r="D254" s="69" t="n"/>
      <c r="E254" s="73" t="n"/>
      <c r="F254" s="69" t="n"/>
      <c r="G254" s="69" t="n"/>
      <c r="H254" s="462" t="n"/>
      <c r="I254" s="462" t="n"/>
      <c r="J254" s="462" t="n"/>
      <c r="K254" s="462" t="n"/>
      <c r="L254" s="462" t="n"/>
      <c r="M254" s="462" t="n"/>
      <c r="N254" s="462" t="n"/>
      <c r="O254" s="462" t="n"/>
      <c r="P254" s="462" t="n"/>
      <c r="Q254" s="462" t="n"/>
      <c r="R254" s="462" t="n"/>
      <c r="S254" s="462" t="n"/>
      <c r="T254" s="462" t="n"/>
      <c r="U254" s="462" t="n"/>
      <c r="V254" s="462" t="n"/>
      <c r="W254" s="462" t="n"/>
      <c r="X254" s="462" t="n"/>
      <c r="Y254" s="462" t="n"/>
      <c r="Z254" s="462" t="n"/>
    </row>
    <row r="255">
      <c r="A255" s="69" t="n"/>
      <c r="B255" s="72" t="n"/>
      <c r="C255" s="73" t="n"/>
      <c r="D255" s="69" t="n"/>
      <c r="E255" s="73" t="n"/>
      <c r="F255" s="69" t="n"/>
      <c r="G255" s="69" t="n"/>
      <c r="H255" s="462" t="n"/>
      <c r="I255" s="462" t="n"/>
      <c r="J255" s="462" t="n"/>
      <c r="K255" s="462" t="n"/>
      <c r="L255" s="462" t="n"/>
      <c r="M255" s="462" t="n"/>
      <c r="N255" s="462" t="n"/>
      <c r="O255" s="462" t="n"/>
      <c r="P255" s="462" t="n"/>
      <c r="Q255" s="462" t="n"/>
      <c r="R255" s="462" t="n"/>
      <c r="S255" s="462" t="n"/>
      <c r="T255" s="462" t="n"/>
      <c r="U255" s="462" t="n"/>
      <c r="V255" s="462" t="n"/>
      <c r="W255" s="462" t="n"/>
      <c r="X255" s="462" t="n"/>
      <c r="Y255" s="462" t="n"/>
      <c r="Z255" s="462" t="n"/>
    </row>
    <row r="257">
      <c r="A257" s="69" t="n"/>
      <c r="B257" s="72" t="n"/>
      <c r="C257" s="73" t="n"/>
      <c r="D257" s="69" t="n"/>
      <c r="E257" s="73" t="n"/>
      <c r="F257" s="69" t="n"/>
      <c r="G257" s="69" t="n"/>
      <c r="H257" s="462" t="n"/>
      <c r="I257" s="462" t="n"/>
      <c r="J257" s="462" t="n"/>
      <c r="K257" s="462" t="n"/>
      <c r="L257" s="462" t="n"/>
      <c r="M257" s="462" t="n"/>
      <c r="N257" s="462" t="n"/>
      <c r="O257" s="462" t="n"/>
      <c r="P257" s="462" t="n"/>
      <c r="Q257" s="462" t="n"/>
      <c r="R257" s="462" t="n"/>
      <c r="S257" s="462" t="n"/>
      <c r="T257" s="462" t="n"/>
      <c r="U257" s="462" t="n"/>
      <c r="V257" s="462" t="n"/>
      <c r="W257" s="462" t="n"/>
      <c r="X257" s="462" t="n"/>
      <c r="Y257" s="462" t="n"/>
      <c r="Z257" s="462" t="n"/>
    </row>
    <row r="258">
      <c r="A258" s="69" t="n"/>
      <c r="B258" s="72" t="n"/>
      <c r="C258" s="73" t="n"/>
      <c r="D258" s="69" t="n"/>
      <c r="E258" s="73" t="n"/>
      <c r="F258" s="69" t="n"/>
      <c r="G258" s="69" t="n"/>
      <c r="H258" s="462" t="n"/>
      <c r="I258" s="462" t="n"/>
      <c r="J258" s="462" t="n"/>
      <c r="K258" s="462" t="n"/>
      <c r="L258" s="462" t="n"/>
      <c r="M258" s="462" t="n"/>
      <c r="N258" s="462" t="n"/>
      <c r="O258" s="462" t="n"/>
      <c r="P258" s="462" t="n"/>
      <c r="Q258" s="462" t="n"/>
      <c r="R258" s="462" t="n"/>
      <c r="S258" s="462" t="n"/>
      <c r="T258" s="462" t="n"/>
      <c r="U258" s="462" t="n"/>
      <c r="V258" s="462" t="n"/>
      <c r="W258" s="462" t="n"/>
      <c r="X258" s="462" t="n"/>
      <c r="Y258" s="462" t="n"/>
      <c r="Z258" s="462" t="n"/>
    </row>
    <row r="259">
      <c r="A259" s="69" t="n"/>
      <c r="B259" s="72" t="n"/>
      <c r="C259" s="73" t="n"/>
      <c r="D259" s="69" t="n"/>
      <c r="E259" s="73" t="n"/>
      <c r="F259" s="69" t="n"/>
      <c r="G259" s="69" t="n"/>
      <c r="H259" s="462" t="n"/>
      <c r="I259" s="462" t="n"/>
      <c r="J259" s="462" t="n"/>
      <c r="K259" s="462" t="n"/>
      <c r="L259" s="462" t="n"/>
      <c r="M259" s="462" t="n"/>
      <c r="N259" s="462" t="n"/>
      <c r="O259" s="462" t="n"/>
      <c r="P259" s="462" t="n"/>
      <c r="Q259" s="462" t="n"/>
      <c r="R259" s="462" t="n"/>
      <c r="S259" s="462" t="n"/>
      <c r="T259" s="462" t="n"/>
      <c r="U259" s="462" t="n"/>
      <c r="V259" s="462" t="n"/>
      <c r="W259" s="462" t="n"/>
      <c r="X259" s="462" t="n"/>
      <c r="Y259" s="462" t="n"/>
      <c r="Z259" s="462" t="n"/>
    </row>
    <row r="260">
      <c r="A260" s="69" t="n"/>
      <c r="B260" s="72" t="n"/>
      <c r="C260" s="73" t="n"/>
      <c r="D260" s="69" t="n"/>
      <c r="E260" s="73" t="n"/>
      <c r="F260" s="69" t="n"/>
      <c r="G260" s="69" t="n"/>
      <c r="H260" s="462" t="n"/>
      <c r="I260" s="462" t="n"/>
      <c r="J260" s="462" t="n"/>
      <c r="K260" s="462" t="n"/>
      <c r="L260" s="462" t="n"/>
      <c r="M260" s="462" t="n"/>
      <c r="N260" s="462" t="n"/>
      <c r="O260" s="462" t="n"/>
      <c r="P260" s="462" t="n"/>
      <c r="Q260" s="462" t="n"/>
      <c r="R260" s="462" t="n"/>
      <c r="S260" s="462" t="n"/>
      <c r="T260" s="462" t="n"/>
      <c r="U260" s="462" t="n"/>
      <c r="V260" s="462" t="n"/>
      <c r="W260" s="462" t="n"/>
      <c r="X260" s="462" t="n"/>
      <c r="Y260" s="462" t="n"/>
      <c r="Z260" s="462" t="n"/>
    </row>
    <row r="261">
      <c r="A261" s="69" t="n"/>
      <c r="B261" s="72" t="n"/>
      <c r="C261" s="73" t="n"/>
      <c r="D261" s="69" t="n"/>
      <c r="E261" s="73" t="n"/>
      <c r="F261" s="69" t="n"/>
      <c r="G261" s="69" t="n"/>
      <c r="H261" s="462" t="n"/>
      <c r="I261" s="462" t="n"/>
      <c r="J261" s="462" t="n"/>
      <c r="K261" s="462" t="n"/>
      <c r="L261" s="462" t="n"/>
      <c r="M261" s="462" t="n"/>
      <c r="N261" s="462" t="n"/>
      <c r="O261" s="462" t="n"/>
      <c r="P261" s="462" t="n"/>
      <c r="Q261" s="462" t="n"/>
      <c r="R261" s="462" t="n"/>
      <c r="S261" s="462" t="n"/>
      <c r="T261" s="462" t="n"/>
      <c r="U261" s="462" t="n"/>
      <c r="V261" s="462" t="n"/>
      <c r="W261" s="462" t="n"/>
      <c r="X261" s="462" t="n"/>
      <c r="Y261" s="462" t="n"/>
      <c r="Z261" s="462" t="n"/>
    </row>
    <row r="262">
      <c r="A262" s="69" t="n"/>
      <c r="B262" s="72" t="n"/>
      <c r="C262" s="73" t="n"/>
      <c r="D262" s="69" t="n"/>
      <c r="E262" s="73" t="n"/>
      <c r="F262" s="69" t="n"/>
      <c r="G262" s="69" t="n"/>
      <c r="H262" s="462" t="n"/>
      <c r="I262" s="462" t="n"/>
      <c r="J262" s="462" t="n"/>
      <c r="K262" s="462" t="n"/>
      <c r="L262" s="462" t="n"/>
      <c r="M262" s="462" t="n"/>
      <c r="N262" s="462" t="n"/>
      <c r="O262" s="462" t="n"/>
      <c r="P262" s="462" t="n"/>
      <c r="Q262" s="462" t="n"/>
      <c r="R262" s="462" t="n"/>
      <c r="S262" s="462" t="n"/>
      <c r="T262" s="462" t="n"/>
      <c r="U262" s="462" t="n"/>
      <c r="V262" s="462" t="n"/>
      <c r="W262" s="462" t="n"/>
      <c r="X262" s="462" t="n"/>
      <c r="Y262" s="462" t="n"/>
      <c r="Z262" s="462" t="n"/>
    </row>
    <row r="263">
      <c r="A263" s="69" t="n"/>
      <c r="B263" s="72" t="n"/>
      <c r="C263" s="73" t="n"/>
      <c r="D263" s="69" t="n"/>
      <c r="E263" s="73" t="n"/>
      <c r="F263" s="69" t="n"/>
      <c r="G263" s="69" t="n"/>
      <c r="H263" s="462" t="n"/>
      <c r="I263" s="462" t="n"/>
      <c r="J263" s="462" t="n"/>
      <c r="K263" s="462" t="n"/>
      <c r="L263" s="462" t="n"/>
      <c r="M263" s="462" t="n"/>
      <c r="N263" s="462" t="n"/>
      <c r="O263" s="462" t="n"/>
      <c r="P263" s="462" t="n"/>
      <c r="Q263" s="462" t="n"/>
      <c r="R263" s="462" t="n"/>
      <c r="S263" s="462" t="n"/>
      <c r="T263" s="462" t="n"/>
      <c r="U263" s="462" t="n"/>
      <c r="V263" s="462" t="n"/>
      <c r="W263" s="462" t="n"/>
      <c r="X263" s="462" t="n"/>
      <c r="Y263" s="462" t="n"/>
      <c r="Z263" s="462" t="n"/>
    </row>
    <row r="264">
      <c r="A264" s="69" t="n"/>
      <c r="B264" s="72" t="n"/>
      <c r="C264" s="73" t="n"/>
      <c r="D264" s="69" t="n"/>
      <c r="E264" s="73" t="n"/>
      <c r="F264" s="69" t="n"/>
      <c r="G264" s="69" t="n"/>
      <c r="H264" s="462" t="n"/>
      <c r="I264" s="462" t="n"/>
      <c r="J264" s="462" t="n"/>
      <c r="K264" s="462" t="n"/>
      <c r="L264" s="462" t="n"/>
      <c r="M264" s="462" t="n"/>
      <c r="N264" s="462" t="n"/>
      <c r="O264" s="462" t="n"/>
      <c r="P264" s="462" t="n"/>
      <c r="Q264" s="462" t="n"/>
      <c r="R264" s="462" t="n"/>
      <c r="S264" s="462" t="n"/>
      <c r="T264" s="462" t="n"/>
      <c r="U264" s="462" t="n"/>
      <c r="V264" s="462" t="n"/>
      <c r="W264" s="462" t="n"/>
      <c r="X264" s="462" t="n"/>
      <c r="Y264" s="462" t="n"/>
      <c r="Z264" s="462" t="n"/>
    </row>
    <row r="265">
      <c r="A265" s="69" t="n"/>
      <c r="B265" s="72" t="n"/>
      <c r="C265" s="73" t="n"/>
      <c r="D265" s="69" t="n"/>
      <c r="E265" s="73" t="n"/>
      <c r="F265" s="69" t="n"/>
      <c r="G265" s="69" t="n"/>
      <c r="H265" s="462" t="n"/>
      <c r="I265" s="462" t="n"/>
      <c r="J265" s="462" t="n"/>
      <c r="K265" s="462" t="n"/>
      <c r="L265" s="462" t="n"/>
      <c r="M265" s="462" t="n"/>
      <c r="N265" s="462" t="n"/>
      <c r="O265" s="462" t="n"/>
      <c r="P265" s="462" t="n"/>
      <c r="Q265" s="462" t="n"/>
      <c r="R265" s="462" t="n"/>
      <c r="S265" s="462" t="n"/>
      <c r="T265" s="462" t="n"/>
      <c r="U265" s="462" t="n"/>
      <c r="V265" s="462" t="n"/>
      <c r="W265" s="462" t="n"/>
      <c r="X265" s="462" t="n"/>
      <c r="Y265" s="462" t="n"/>
      <c r="Z265" s="462" t="n"/>
    </row>
    <row r="266">
      <c r="A266" s="69" t="n"/>
      <c r="B266" s="72" t="n"/>
      <c r="C266" s="73" t="n"/>
      <c r="D266" s="69" t="n"/>
      <c r="E266" s="73" t="n"/>
      <c r="F266" s="69" t="n"/>
      <c r="G266" s="69" t="n"/>
      <c r="H266" s="462" t="n"/>
      <c r="I266" s="462" t="n"/>
      <c r="J266" s="462" t="n"/>
      <c r="K266" s="462" t="n"/>
      <c r="L266" s="462" t="n"/>
      <c r="M266" s="462" t="n"/>
      <c r="N266" s="462" t="n"/>
      <c r="O266" s="462" t="n"/>
      <c r="P266" s="462" t="n"/>
      <c r="Q266" s="462" t="n"/>
      <c r="R266" s="462" t="n"/>
      <c r="S266" s="462" t="n"/>
      <c r="T266" s="462" t="n"/>
      <c r="U266" s="462" t="n"/>
      <c r="V266" s="462" t="n"/>
      <c r="W266" s="462" t="n"/>
      <c r="X266" s="462" t="n"/>
      <c r="Y266" s="462" t="n"/>
      <c r="Z266" s="462" t="n"/>
    </row>
    <row r="267">
      <c r="A267" s="69" t="n"/>
      <c r="B267" s="72" t="n"/>
      <c r="C267" s="73" t="n"/>
      <c r="D267" s="69" t="n"/>
      <c r="E267" s="73" t="n"/>
      <c r="F267" s="69" t="n"/>
      <c r="G267" s="69" t="n"/>
      <c r="H267" s="462" t="n"/>
      <c r="I267" s="462" t="n"/>
      <c r="J267" s="462" t="n"/>
      <c r="K267" s="462" t="n"/>
      <c r="L267" s="462" t="n"/>
      <c r="M267" s="462" t="n"/>
      <c r="N267" s="462" t="n"/>
      <c r="O267" s="462" t="n"/>
      <c r="P267" s="462" t="n"/>
      <c r="Q267" s="462" t="n"/>
      <c r="R267" s="462" t="n"/>
      <c r="S267" s="462" t="n"/>
      <c r="T267" s="462" t="n"/>
      <c r="U267" s="462" t="n"/>
      <c r="V267" s="462" t="n"/>
      <c r="W267" s="462" t="n"/>
      <c r="X267" s="462" t="n"/>
      <c r="Y267" s="462" t="n"/>
      <c r="Z267" s="462" t="n"/>
    </row>
    <row r="268">
      <c r="A268" s="69" t="n"/>
      <c r="B268" s="72" t="n"/>
      <c r="C268" s="73" t="n"/>
      <c r="D268" s="69" t="n"/>
      <c r="E268" s="73" t="n"/>
      <c r="F268" s="69" t="n"/>
      <c r="G268" s="69" t="n"/>
      <c r="H268" s="462" t="n"/>
      <c r="I268" s="462" t="n"/>
      <c r="J268" s="462" t="n"/>
      <c r="K268" s="462" t="n"/>
      <c r="L268" s="462" t="n"/>
      <c r="M268" s="462" t="n"/>
      <c r="N268" s="462" t="n"/>
      <c r="O268" s="462" t="n"/>
      <c r="P268" s="462" t="n"/>
      <c r="Q268" s="462" t="n"/>
      <c r="R268" s="462" t="n"/>
      <c r="S268" s="462" t="n"/>
      <c r="T268" s="462" t="n"/>
      <c r="U268" s="462" t="n"/>
      <c r="V268" s="462" t="n"/>
      <c r="W268" s="462" t="n"/>
      <c r="X268" s="462" t="n"/>
      <c r="Y268" s="462" t="n"/>
      <c r="Z268" s="462" t="n"/>
    </row>
    <row r="269">
      <c r="A269" s="69" t="n"/>
      <c r="B269" s="72" t="n"/>
      <c r="C269" s="73" t="n"/>
      <c r="D269" s="69" t="n"/>
      <c r="E269" s="73" t="n"/>
      <c r="F269" s="69" t="n"/>
      <c r="G269" s="69" t="n"/>
      <c r="H269" s="462" t="n"/>
      <c r="I269" s="462" t="n"/>
      <c r="J269" s="462" t="n"/>
      <c r="K269" s="462" t="n"/>
      <c r="L269" s="462" t="n"/>
      <c r="M269" s="462" t="n"/>
      <c r="N269" s="462" t="n"/>
      <c r="O269" s="462" t="n"/>
      <c r="P269" s="462" t="n"/>
      <c r="Q269" s="462" t="n"/>
      <c r="R269" s="462" t="n"/>
      <c r="S269" s="462" t="n"/>
      <c r="T269" s="462" t="n"/>
      <c r="U269" s="462" t="n"/>
      <c r="V269" s="462" t="n"/>
      <c r="W269" s="462" t="n"/>
      <c r="X269" s="462" t="n"/>
      <c r="Y269" s="462" t="n"/>
      <c r="Z269" s="462" t="n"/>
    </row>
    <row r="270">
      <c r="A270" s="69" t="n"/>
      <c r="B270" s="72" t="n"/>
      <c r="C270" s="73" t="n"/>
      <c r="D270" s="69" t="n"/>
      <c r="E270" s="73" t="n"/>
      <c r="F270" s="69" t="n"/>
      <c r="G270" s="69" t="n"/>
      <c r="H270" s="462" t="n"/>
      <c r="I270" s="462" t="n"/>
      <c r="J270" s="462" t="n"/>
      <c r="K270" s="462" t="n"/>
      <c r="L270" s="462" t="n"/>
      <c r="M270" s="462" t="n"/>
      <c r="N270" s="462" t="n"/>
      <c r="O270" s="462" t="n"/>
      <c r="P270" s="462" t="n"/>
      <c r="Q270" s="462" t="n"/>
      <c r="R270" s="462" t="n"/>
      <c r="S270" s="462" t="n"/>
      <c r="T270" s="462" t="n"/>
      <c r="U270" s="462" t="n"/>
      <c r="V270" s="462" t="n"/>
      <c r="W270" s="462" t="n"/>
      <c r="X270" s="462" t="n"/>
      <c r="Y270" s="462" t="n"/>
      <c r="Z270" s="462" t="n"/>
    </row>
    <row r="271">
      <c r="A271" s="69" t="n"/>
      <c r="B271" s="72" t="n"/>
      <c r="C271" s="73" t="n"/>
      <c r="D271" s="69" t="n"/>
      <c r="E271" s="73" t="n"/>
      <c r="F271" s="69" t="n"/>
      <c r="G271" s="69" t="n"/>
      <c r="H271" s="462" t="n"/>
      <c r="I271" s="462" t="n"/>
      <c r="J271" s="462" t="n"/>
      <c r="K271" s="462" t="n"/>
      <c r="L271" s="462" t="n"/>
      <c r="M271" s="462" t="n"/>
      <c r="N271" s="462" t="n"/>
      <c r="O271" s="462" t="n"/>
      <c r="P271" s="462" t="n"/>
      <c r="Q271" s="462" t="n"/>
      <c r="R271" s="462" t="n"/>
      <c r="S271" s="462" t="n"/>
      <c r="T271" s="462" t="n"/>
      <c r="U271" s="462" t="n"/>
      <c r="V271" s="462" t="n"/>
      <c r="W271" s="462" t="n"/>
      <c r="X271" s="462" t="n"/>
      <c r="Y271" s="462" t="n"/>
      <c r="Z271" s="462" t="n"/>
    </row>
    <row r="272">
      <c r="A272" s="69" t="n"/>
      <c r="B272" s="72" t="n"/>
      <c r="C272" s="73" t="n"/>
      <c r="D272" s="69" t="n"/>
      <c r="E272" s="73" t="n"/>
      <c r="F272" s="69" t="n"/>
      <c r="G272" s="69" t="n"/>
      <c r="H272" s="462" t="n"/>
      <c r="I272" s="462" t="n"/>
      <c r="J272" s="462" t="n"/>
      <c r="K272" s="462" t="n"/>
      <c r="L272" s="462" t="n"/>
      <c r="M272" s="462" t="n"/>
      <c r="N272" s="462" t="n"/>
      <c r="O272" s="462" t="n"/>
      <c r="P272" s="462" t="n"/>
      <c r="Q272" s="462" t="n"/>
      <c r="R272" s="462" t="n"/>
      <c r="S272" s="462" t="n"/>
      <c r="T272" s="462" t="n"/>
      <c r="U272" s="462" t="n"/>
      <c r="V272" s="462" t="n"/>
      <c r="W272" s="462" t="n"/>
      <c r="X272" s="462" t="n"/>
      <c r="Y272" s="462" t="n"/>
      <c r="Z272" s="462" t="n"/>
    </row>
    <row r="273">
      <c r="A273" s="69" t="n"/>
      <c r="B273" s="72" t="n"/>
      <c r="C273" s="73" t="n"/>
      <c r="D273" s="69" t="n"/>
      <c r="E273" s="73" t="n"/>
      <c r="F273" s="69" t="n"/>
      <c r="G273" s="69" t="n"/>
      <c r="H273" s="462" t="n"/>
      <c r="I273" s="462" t="n"/>
      <c r="J273" s="462" t="n"/>
      <c r="K273" s="462" t="n"/>
      <c r="L273" s="462" t="n"/>
      <c r="M273" s="462" t="n"/>
      <c r="N273" s="462" t="n"/>
      <c r="O273" s="462" t="n"/>
      <c r="P273" s="462" t="n"/>
      <c r="Q273" s="462" t="n"/>
      <c r="R273" s="462" t="n"/>
      <c r="S273" s="462" t="n"/>
      <c r="T273" s="462" t="n"/>
      <c r="U273" s="462" t="n"/>
      <c r="V273" s="462" t="n"/>
      <c r="W273" s="462" t="n"/>
      <c r="X273" s="462" t="n"/>
      <c r="Y273" s="462" t="n"/>
      <c r="Z273" s="462" t="n"/>
    </row>
    <row r="274">
      <c r="A274" s="69" t="n"/>
      <c r="B274" s="72" t="n"/>
      <c r="C274" s="73" t="n"/>
      <c r="D274" s="69" t="n"/>
      <c r="E274" s="73" t="n"/>
      <c r="F274" s="69" t="n"/>
      <c r="G274" s="69" t="n"/>
      <c r="H274" s="462" t="n"/>
      <c r="I274" s="462" t="n"/>
      <c r="J274" s="462" t="n"/>
      <c r="K274" s="462" t="n"/>
      <c r="L274" s="462" t="n"/>
      <c r="M274" s="462" t="n"/>
      <c r="N274" s="462" t="n"/>
      <c r="O274" s="462" t="n"/>
      <c r="P274" s="462" t="n"/>
      <c r="Q274" s="462" t="n"/>
      <c r="R274" s="462" t="n"/>
      <c r="S274" s="462" t="n"/>
      <c r="T274" s="462" t="n"/>
      <c r="U274" s="462" t="n"/>
      <c r="V274" s="462" t="n"/>
      <c r="W274" s="462" t="n"/>
      <c r="X274" s="462" t="n"/>
      <c r="Y274" s="462" t="n"/>
      <c r="Z274" s="462" t="n"/>
    </row>
    <row r="275">
      <c r="A275" s="69" t="n"/>
      <c r="B275" s="72" t="n"/>
      <c r="C275" s="73" t="n"/>
      <c r="D275" s="69" t="n"/>
      <c r="E275" s="73" t="n"/>
      <c r="F275" s="69" t="n"/>
      <c r="G275" s="69" t="n"/>
      <c r="H275" s="462" t="n"/>
      <c r="I275" s="462" t="n"/>
      <c r="J275" s="462" t="n"/>
      <c r="K275" s="462" t="n"/>
      <c r="L275" s="462" t="n"/>
      <c r="M275" s="462" t="n"/>
      <c r="N275" s="462" t="n"/>
      <c r="O275" s="462" t="n"/>
      <c r="P275" s="462" t="n"/>
      <c r="Q275" s="462" t="n"/>
      <c r="R275" s="462" t="n"/>
      <c r="S275" s="462" t="n"/>
      <c r="T275" s="462" t="n"/>
      <c r="U275" s="462" t="n"/>
      <c r="V275" s="462" t="n"/>
      <c r="W275" s="462" t="n"/>
      <c r="X275" s="462" t="n"/>
      <c r="Y275" s="462" t="n"/>
      <c r="Z275" s="462" t="n"/>
    </row>
    <row r="276">
      <c r="A276" s="69" t="n"/>
      <c r="B276" s="72" t="n"/>
      <c r="C276" s="73" t="n"/>
      <c r="D276" s="69" t="n"/>
      <c r="E276" s="73" t="n"/>
      <c r="F276" s="69" t="n"/>
      <c r="G276" s="69" t="n"/>
      <c r="H276" s="462" t="n"/>
      <c r="I276" s="462" t="n"/>
      <c r="J276" s="462" t="n"/>
      <c r="K276" s="462" t="n"/>
      <c r="L276" s="462" t="n"/>
      <c r="M276" s="462" t="n"/>
      <c r="N276" s="462" t="n"/>
      <c r="O276" s="462" t="n"/>
      <c r="P276" s="462" t="n"/>
      <c r="Q276" s="462" t="n"/>
      <c r="R276" s="462" t="n"/>
      <c r="S276" s="462" t="n"/>
      <c r="T276" s="462" t="n"/>
      <c r="U276" s="462" t="n"/>
      <c r="V276" s="462" t="n"/>
      <c r="W276" s="462" t="n"/>
      <c r="X276" s="462" t="n"/>
      <c r="Y276" s="462" t="n"/>
      <c r="Z276" s="462" t="n"/>
    </row>
    <row r="277">
      <c r="A277" s="69" t="n"/>
      <c r="B277" s="72" t="n"/>
      <c r="C277" s="73" t="n"/>
      <c r="D277" s="69" t="n"/>
      <c r="E277" s="73" t="n"/>
      <c r="F277" s="69" t="n"/>
      <c r="G277" s="69" t="n"/>
      <c r="H277" s="462" t="n"/>
      <c r="I277" s="462" t="n"/>
      <c r="J277" s="462" t="n"/>
      <c r="K277" s="462" t="n"/>
      <c r="L277" s="462" t="n"/>
      <c r="M277" s="462" t="n"/>
      <c r="N277" s="462" t="n"/>
      <c r="O277" s="462" t="n"/>
      <c r="P277" s="462" t="n"/>
      <c r="Q277" s="462" t="n"/>
      <c r="R277" s="462" t="n"/>
      <c r="S277" s="462" t="n"/>
      <c r="T277" s="462" t="n"/>
      <c r="U277" s="462" t="n"/>
      <c r="V277" s="462" t="n"/>
      <c r="W277" s="462" t="n"/>
      <c r="X277" s="462" t="n"/>
      <c r="Y277" s="462" t="n"/>
      <c r="Z277" s="462" t="n"/>
    </row>
    <row r="278">
      <c r="A278" s="69" t="n"/>
      <c r="B278" s="72" t="n"/>
      <c r="C278" s="73" t="n"/>
      <c r="D278" s="69" t="n"/>
      <c r="E278" s="73" t="n"/>
      <c r="F278" s="69" t="n"/>
      <c r="G278" s="69" t="n"/>
      <c r="H278" s="462" t="n"/>
      <c r="I278" s="462" t="n"/>
      <c r="J278" s="462" t="n"/>
      <c r="K278" s="462" t="n"/>
      <c r="L278" s="462" t="n"/>
      <c r="M278" s="462" t="n"/>
      <c r="N278" s="462" t="n"/>
      <c r="O278" s="462" t="n"/>
      <c r="P278" s="462" t="n"/>
      <c r="Q278" s="462" t="n"/>
      <c r="R278" s="462" t="n"/>
      <c r="S278" s="462" t="n"/>
      <c r="T278" s="462" t="n"/>
      <c r="U278" s="462" t="n"/>
      <c r="V278" s="462" t="n"/>
      <c r="W278" s="462" t="n"/>
      <c r="X278" s="462" t="n"/>
      <c r="Y278" s="462" t="n"/>
      <c r="Z278" s="462" t="n"/>
    </row>
    <row r="279">
      <c r="A279" s="69" t="n"/>
      <c r="B279" s="72" t="n"/>
      <c r="C279" s="73" t="n"/>
      <c r="D279" s="69" t="n"/>
      <c r="E279" s="73" t="n"/>
      <c r="F279" s="69" t="n"/>
      <c r="G279" s="69" t="n"/>
      <c r="H279" s="462" t="n"/>
      <c r="I279" s="462" t="n"/>
      <c r="J279" s="462" t="n"/>
      <c r="K279" s="462" t="n"/>
      <c r="L279" s="462" t="n"/>
      <c r="M279" s="462" t="n"/>
      <c r="N279" s="462" t="n"/>
      <c r="O279" s="462" t="n"/>
      <c r="P279" s="462" t="n"/>
      <c r="Q279" s="462" t="n"/>
      <c r="R279" s="462" t="n"/>
      <c r="S279" s="462" t="n"/>
      <c r="T279" s="462" t="n"/>
      <c r="U279" s="462" t="n"/>
      <c r="V279" s="462" t="n"/>
      <c r="W279" s="462" t="n"/>
      <c r="X279" s="462" t="n"/>
      <c r="Y279" s="462" t="n"/>
      <c r="Z279" s="462" t="n"/>
    </row>
    <row r="280">
      <c r="A280" s="69" t="n"/>
      <c r="B280" s="72" t="n"/>
      <c r="C280" s="73" t="n"/>
      <c r="D280" s="69" t="n"/>
      <c r="E280" s="73" t="n"/>
      <c r="F280" s="69" t="n"/>
      <c r="G280" s="69" t="n"/>
      <c r="H280" s="462" t="n"/>
      <c r="I280" s="462" t="n"/>
      <c r="J280" s="462" t="n"/>
      <c r="K280" s="462" t="n"/>
      <c r="L280" s="462" t="n"/>
      <c r="M280" s="462" t="n"/>
      <c r="N280" s="462" t="n"/>
      <c r="O280" s="462" t="n"/>
      <c r="P280" s="462" t="n"/>
      <c r="Q280" s="462" t="n"/>
      <c r="R280" s="462" t="n"/>
      <c r="S280" s="462" t="n"/>
      <c r="T280" s="462" t="n"/>
      <c r="U280" s="462" t="n"/>
      <c r="V280" s="462" t="n"/>
      <c r="W280" s="462" t="n"/>
      <c r="X280" s="462" t="n"/>
      <c r="Y280" s="462" t="n"/>
      <c r="Z280" s="462" t="n"/>
    </row>
    <row r="281">
      <c r="A281" s="69" t="n"/>
      <c r="B281" s="72" t="n"/>
      <c r="C281" s="73" t="n"/>
      <c r="D281" s="69" t="n"/>
      <c r="E281" s="73" t="n"/>
      <c r="F281" s="69" t="n"/>
      <c r="G281" s="69" t="n"/>
    </row>
    <row r="282">
      <c r="A282" s="69" t="n"/>
      <c r="B282" s="72" t="n"/>
      <c r="C282" s="73" t="n"/>
      <c r="D282" s="69" t="n"/>
      <c r="E282" s="73" t="n"/>
      <c r="F282" s="69" t="n"/>
      <c r="G282" s="69" t="n"/>
    </row>
    <row r="283">
      <c r="A283" s="69" t="n"/>
      <c r="B283" s="72" t="n"/>
      <c r="C283" s="73" t="n"/>
      <c r="D283" s="69" t="n"/>
      <c r="E283" s="73" t="n"/>
      <c r="F283" s="69" t="n"/>
      <c r="G283" s="69" t="n"/>
    </row>
    <row r="284">
      <c r="A284" s="69" t="n"/>
      <c r="B284" s="72" t="n"/>
      <c r="C284" s="73" t="n"/>
      <c r="D284" s="69" t="n"/>
      <c r="E284" s="73" t="n"/>
      <c r="F284" s="69" t="n"/>
      <c r="G284" s="69" t="n"/>
    </row>
    <row r="285">
      <c r="A285" s="69" t="n"/>
      <c r="B285" s="72" t="n"/>
      <c r="C285" s="73" t="n"/>
      <c r="D285" s="69" t="n"/>
      <c r="E285" s="73" t="n"/>
      <c r="F285" s="69" t="n"/>
      <c r="G285" s="69" t="n"/>
    </row>
    <row r="286">
      <c r="A286" s="69" t="n"/>
      <c r="B286" s="72" t="n"/>
      <c r="C286" s="73" t="n"/>
      <c r="D286" s="69" t="n"/>
      <c r="E286" s="73" t="n"/>
      <c r="F286" s="69" t="n"/>
      <c r="G286" s="69" t="n"/>
    </row>
    <row r="287">
      <c r="A287" s="69" t="n"/>
      <c r="B287" s="72" t="n"/>
      <c r="C287" s="73" t="n"/>
      <c r="D287" s="69" t="n"/>
      <c r="E287" s="73" t="n"/>
      <c r="F287" s="69" t="n"/>
      <c r="G287" s="69" t="n"/>
    </row>
    <row r="288">
      <c r="A288" s="69" t="n"/>
      <c r="B288" s="72" t="n"/>
      <c r="C288" s="73" t="n"/>
      <c r="D288" s="69" t="n"/>
      <c r="E288" s="73" t="n"/>
      <c r="F288" s="69" t="n"/>
      <c r="G288" s="69" t="n"/>
    </row>
    <row r="289">
      <c r="A289" s="69" t="n"/>
      <c r="B289" s="72" t="n"/>
      <c r="C289" s="73" t="n"/>
      <c r="D289" s="69" t="n"/>
      <c r="E289" s="73" t="n"/>
      <c r="F289" s="69" t="n"/>
      <c r="G289" s="69" t="n"/>
    </row>
    <row r="290">
      <c r="A290" s="69" t="n"/>
      <c r="B290" s="72" t="n"/>
      <c r="C290" s="73" t="n"/>
      <c r="D290" s="69" t="n"/>
      <c r="E290" s="73" t="n"/>
      <c r="F290" s="69" t="n"/>
      <c r="G290" s="69" t="n"/>
    </row>
    <row r="291">
      <c r="A291" s="69" t="n"/>
      <c r="B291" s="72" t="n"/>
      <c r="C291" s="73" t="n"/>
      <c r="D291" s="69" t="n"/>
      <c r="E291" s="73" t="n"/>
      <c r="F291" s="69" t="n"/>
      <c r="G291" s="69" t="n"/>
    </row>
    <row r="292">
      <c r="A292" s="69" t="n"/>
      <c r="B292" s="72" t="n"/>
      <c r="C292" s="73" t="n"/>
      <c r="D292" s="69" t="n"/>
      <c r="E292" s="73" t="n"/>
      <c r="F292" s="69" t="n"/>
      <c r="G292" s="69" t="n"/>
    </row>
    <row r="293">
      <c r="A293" s="69" t="n"/>
      <c r="B293" s="72" t="n"/>
      <c r="C293" s="73" t="n"/>
      <c r="D293" s="69" t="n"/>
      <c r="E293" s="73" t="n"/>
      <c r="F293" s="69" t="n"/>
      <c r="G293" s="69" t="n"/>
    </row>
    <row r="294">
      <c r="A294" s="69" t="n"/>
      <c r="B294" s="72" t="n"/>
      <c r="C294" s="73" t="n"/>
      <c r="D294" s="69" t="n"/>
      <c r="E294" s="73" t="n"/>
      <c r="F294" s="69" t="n"/>
      <c r="G294" s="69" t="n"/>
    </row>
    <row r="295">
      <c r="A295" s="69" t="n"/>
      <c r="B295" s="72" t="n"/>
      <c r="C295" s="73" t="n"/>
      <c r="D295" s="69" t="n"/>
      <c r="E295" s="73" t="n"/>
      <c r="F295" s="69" t="n"/>
      <c r="G295" s="69" t="n"/>
    </row>
    <row r="296">
      <c r="A296" s="69" t="n"/>
      <c r="B296" s="72" t="n"/>
      <c r="C296" s="73" t="n"/>
      <c r="D296" s="69" t="n"/>
      <c r="E296" s="73" t="n"/>
      <c r="F296" s="69" t="n"/>
      <c r="G296" s="69" t="n"/>
    </row>
    <row r="297">
      <c r="A297" s="69" t="n"/>
      <c r="B297" s="72" t="n"/>
      <c r="C297" s="73" t="n"/>
      <c r="D297" s="69" t="n"/>
      <c r="E297" s="73" t="n"/>
      <c r="F297" s="69" t="n"/>
      <c r="G297" s="69" t="n"/>
    </row>
    <row r="298">
      <c r="A298" s="69" t="n"/>
      <c r="B298" s="72" t="n"/>
      <c r="C298" s="73" t="n"/>
      <c r="D298" s="69" t="n"/>
      <c r="E298" s="73" t="n"/>
      <c r="F298" s="69" t="n"/>
      <c r="G298" s="69" t="n"/>
    </row>
    <row r="299">
      <c r="A299" s="69" t="n"/>
      <c r="B299" s="72" t="n"/>
      <c r="C299" s="73" t="n"/>
      <c r="D299" s="69" t="n"/>
      <c r="E299" s="73" t="n"/>
      <c r="F299" s="69" t="n"/>
      <c r="G299" s="69" t="n"/>
    </row>
    <row r="300">
      <c r="A300" s="69" t="n"/>
      <c r="B300" s="72" t="n"/>
      <c r="C300" s="73" t="n"/>
      <c r="D300" s="69" t="n"/>
      <c r="E300" s="73" t="n"/>
      <c r="F300" s="69" t="n"/>
      <c r="G300" s="69" t="n"/>
    </row>
    <row r="301">
      <c r="A301" s="69" t="n"/>
      <c r="B301" s="72" t="n"/>
      <c r="C301" s="73" t="n"/>
      <c r="D301" s="69" t="n"/>
      <c r="E301" s="73" t="n"/>
      <c r="F301" s="69" t="n"/>
      <c r="G301" s="69" t="n"/>
    </row>
    <row r="302">
      <c r="A302" s="69" t="n"/>
      <c r="B302" s="72" t="n"/>
      <c r="C302" s="73" t="n"/>
      <c r="D302" s="69" t="n"/>
      <c r="E302" s="73" t="n"/>
      <c r="F302" s="69" t="n"/>
      <c r="G302" s="69" t="n"/>
    </row>
    <row r="303">
      <c r="A303" s="69" t="n"/>
      <c r="B303" s="72" t="n"/>
      <c r="C303" s="73" t="n"/>
      <c r="D303" s="69" t="n"/>
      <c r="E303" s="73" t="n"/>
      <c r="F303" s="69" t="n"/>
      <c r="G303" s="69" t="n"/>
    </row>
    <row r="304">
      <c r="A304" s="69" t="n"/>
      <c r="B304" s="72" t="n"/>
      <c r="C304" s="73" t="n"/>
      <c r="D304" s="69" t="n"/>
      <c r="E304" s="73" t="n"/>
      <c r="F304" s="69" t="n"/>
      <c r="G304" s="69" t="n"/>
    </row>
    <row r="305">
      <c r="A305" s="69" t="n"/>
      <c r="B305" s="72" t="n"/>
      <c r="C305" s="73" t="n"/>
      <c r="D305" s="69" t="n"/>
      <c r="E305" s="73" t="n"/>
      <c r="F305" s="69" t="n"/>
      <c r="G305" s="69" t="n"/>
    </row>
    <row r="306">
      <c r="A306" s="69" t="n"/>
      <c r="B306" s="72" t="n"/>
      <c r="C306" s="73" t="n"/>
      <c r="D306" s="69" t="n"/>
      <c r="E306" s="73" t="n"/>
      <c r="F306" s="69" t="n"/>
      <c r="G306" s="69" t="n"/>
    </row>
    <row r="307">
      <c r="A307" s="69" t="n"/>
      <c r="B307" s="72" t="n"/>
      <c r="C307" s="73" t="n"/>
      <c r="D307" s="69" t="n"/>
      <c r="E307" s="73" t="n"/>
      <c r="F307" s="69" t="n"/>
      <c r="G307" s="69" t="n"/>
    </row>
    <row r="308">
      <c r="A308" s="69" t="n"/>
      <c r="B308" s="72" t="n"/>
      <c r="C308" s="73" t="n"/>
      <c r="D308" s="69" t="n"/>
      <c r="E308" s="73" t="n"/>
      <c r="F308" s="69" t="n"/>
      <c r="G308" s="69" t="n"/>
    </row>
    <row r="309">
      <c r="A309" s="69" t="n"/>
      <c r="B309" s="72" t="n"/>
      <c r="C309" s="73" t="n"/>
      <c r="D309" s="69" t="n"/>
      <c r="E309" s="73" t="n"/>
      <c r="F309" s="69" t="n"/>
      <c r="G309" s="69" t="n"/>
    </row>
    <row r="310">
      <c r="A310" s="69" t="n"/>
      <c r="B310" s="72" t="n"/>
      <c r="C310" s="73" t="n"/>
      <c r="D310" s="69" t="n"/>
      <c r="E310" s="73" t="n"/>
      <c r="F310" s="69" t="n"/>
      <c r="G310" s="69" t="n"/>
    </row>
    <row r="311">
      <c r="A311" s="69" t="n"/>
      <c r="B311" s="72" t="n"/>
      <c r="C311" s="73" t="n"/>
      <c r="D311" s="69" t="n"/>
      <c r="E311" s="73" t="n"/>
      <c r="F311" s="69" t="n"/>
      <c r="G311" s="69" t="n"/>
    </row>
    <row r="312">
      <c r="A312" s="69" t="n"/>
      <c r="B312" s="72" t="n"/>
      <c r="C312" s="73" t="n"/>
      <c r="D312" s="69" t="n"/>
      <c r="E312" s="73" t="n"/>
      <c r="F312" s="69" t="n"/>
      <c r="G312" s="69" t="n"/>
    </row>
    <row r="313">
      <c r="A313" s="69" t="n"/>
      <c r="B313" s="72" t="n"/>
      <c r="C313" s="73" t="n"/>
      <c r="D313" s="69" t="n"/>
      <c r="E313" s="73" t="n"/>
      <c r="F313" s="69" t="n"/>
      <c r="G313" s="69" t="n"/>
    </row>
    <row r="314">
      <c r="A314" s="69" t="n"/>
      <c r="B314" s="72" t="n"/>
      <c r="C314" s="73" t="n"/>
      <c r="D314" s="69" t="n"/>
      <c r="E314" s="73" t="n"/>
      <c r="F314" s="69" t="n"/>
      <c r="G314" s="69" t="n"/>
    </row>
    <row r="315">
      <c r="A315" s="69" t="n"/>
      <c r="B315" s="72" t="n"/>
      <c r="C315" s="73" t="n"/>
      <c r="D315" s="69" t="n"/>
      <c r="E315" s="73" t="n"/>
      <c r="F315" s="69" t="n"/>
      <c r="G315" s="69" t="n"/>
    </row>
    <row r="316">
      <c r="A316" s="69" t="n"/>
      <c r="B316" s="72" t="n"/>
      <c r="C316" s="73" t="n"/>
      <c r="D316" s="69" t="n"/>
      <c r="E316" s="73" t="n"/>
      <c r="F316" s="69" t="n"/>
      <c r="G316" s="69" t="n"/>
    </row>
    <row r="317">
      <c r="A317" s="69" t="n"/>
      <c r="B317" s="72" t="n"/>
      <c r="C317" s="73" t="n"/>
      <c r="D317" s="69" t="n"/>
      <c r="E317" s="73" t="n"/>
      <c r="F317" s="69" t="n"/>
      <c r="G317" s="69" t="n"/>
    </row>
    <row r="318">
      <c r="A318" s="69" t="n"/>
      <c r="B318" s="72" t="n"/>
      <c r="C318" s="73" t="n"/>
      <c r="D318" s="69" t="n"/>
      <c r="E318" s="73" t="n"/>
      <c r="F318" s="69" t="n"/>
      <c r="G318" s="69" t="n"/>
    </row>
    <row r="319">
      <c r="A319" s="69" t="n"/>
      <c r="B319" s="72" t="n"/>
      <c r="C319" s="73" t="n"/>
      <c r="D319" s="69" t="n"/>
      <c r="E319" s="73" t="n"/>
      <c r="F319" s="69" t="n"/>
      <c r="G319" s="69" t="n"/>
    </row>
    <row r="320">
      <c r="A320" s="69" t="n"/>
      <c r="B320" s="72" t="n"/>
      <c r="C320" s="73" t="n"/>
      <c r="D320" s="69" t="n"/>
      <c r="E320" s="73" t="n"/>
      <c r="F320" s="69" t="n"/>
      <c r="G320" s="69" t="n"/>
    </row>
    <row r="321">
      <c r="A321" s="69" t="n"/>
      <c r="B321" s="72" t="n"/>
      <c r="C321" s="73" t="n"/>
      <c r="D321" s="69" t="n"/>
      <c r="E321" s="73" t="n"/>
      <c r="F321" s="69" t="n"/>
      <c r="G321" s="69" t="n"/>
    </row>
    <row r="322">
      <c r="A322" s="69" t="n"/>
      <c r="B322" s="72" t="n"/>
      <c r="C322" s="73" t="n"/>
      <c r="D322" s="69" t="n"/>
      <c r="E322" s="73" t="n"/>
      <c r="F322" s="69" t="n"/>
      <c r="G322" s="69" t="n"/>
    </row>
    <row r="323">
      <c r="A323" s="69" t="n"/>
      <c r="B323" s="72" t="n"/>
      <c r="C323" s="73" t="n"/>
      <c r="D323" s="69" t="n"/>
      <c r="E323" s="73" t="n"/>
      <c r="F323" s="69" t="n"/>
      <c r="G323" s="69" t="n"/>
    </row>
    <row r="324">
      <c r="A324" s="69" t="n"/>
      <c r="B324" s="72" t="n"/>
      <c r="C324" s="73" t="n"/>
      <c r="D324" s="69" t="n"/>
      <c r="E324" s="73" t="n"/>
      <c r="F324" s="69" t="n"/>
      <c r="G324" s="69" t="n"/>
    </row>
    <row r="325">
      <c r="A325" s="69" t="n"/>
      <c r="B325" s="72" t="n"/>
      <c r="C325" s="73" t="n"/>
      <c r="D325" s="69" t="n"/>
      <c r="E325" s="73" t="n"/>
      <c r="F325" s="69" t="n"/>
      <c r="G325" s="69" t="n"/>
    </row>
    <row r="326">
      <c r="A326" s="69" t="n"/>
      <c r="B326" s="72" t="n"/>
      <c r="C326" s="73" t="n"/>
      <c r="D326" s="69" t="n"/>
      <c r="E326" s="73" t="n"/>
      <c r="F326" s="69" t="n"/>
      <c r="G326" s="69" t="n"/>
    </row>
    <row r="327">
      <c r="A327" s="69" t="n"/>
      <c r="B327" s="72" t="n"/>
      <c r="C327" s="73" t="n"/>
      <c r="D327" s="69" t="n"/>
      <c r="E327" s="73" t="n"/>
      <c r="F327" s="69" t="n"/>
      <c r="G327" s="69" t="n"/>
    </row>
    <row r="328">
      <c r="A328" s="69" t="n"/>
      <c r="B328" s="72" t="n"/>
      <c r="C328" s="73" t="n"/>
      <c r="D328" s="69" t="n"/>
      <c r="E328" s="73" t="n"/>
      <c r="F328" s="69" t="n"/>
      <c r="G328" s="69" t="n"/>
    </row>
    <row r="329">
      <c r="A329" s="69" t="n"/>
      <c r="B329" s="72" t="n"/>
      <c r="C329" s="73" t="n"/>
      <c r="D329" s="69" t="n"/>
      <c r="E329" s="73" t="n"/>
      <c r="F329" s="69" t="n"/>
      <c r="G329" s="69" t="n"/>
    </row>
    <row r="330">
      <c r="A330" s="69" t="n"/>
      <c r="B330" s="72" t="n"/>
      <c r="C330" s="73" t="n"/>
      <c r="D330" s="69" t="n"/>
      <c r="E330" s="73" t="n"/>
      <c r="F330" s="69" t="n"/>
      <c r="G330" s="69" t="n"/>
    </row>
    <row r="331">
      <c r="A331" s="69" t="n"/>
      <c r="B331" s="72" t="n"/>
      <c r="C331" s="73" t="n"/>
      <c r="D331" s="69" t="n"/>
      <c r="E331" s="73" t="n"/>
      <c r="F331" s="69" t="n"/>
      <c r="G331" s="69" t="n"/>
    </row>
    <row r="332">
      <c r="A332" s="69" t="n"/>
      <c r="B332" s="72" t="n"/>
      <c r="C332" s="73" t="n"/>
      <c r="D332" s="69" t="n"/>
      <c r="E332" s="73" t="n"/>
      <c r="F332" s="69" t="n"/>
      <c r="G332" s="69" t="n"/>
    </row>
    <row r="333">
      <c r="A333" s="69" t="n"/>
      <c r="B333" s="72" t="n"/>
      <c r="C333" s="73" t="n"/>
      <c r="D333" s="69" t="n"/>
      <c r="E333" s="73" t="n"/>
      <c r="F333" s="69" t="n"/>
      <c r="G333" s="69" t="n"/>
    </row>
    <row r="334">
      <c r="A334" s="69" t="n"/>
      <c r="B334" s="72" t="n"/>
      <c r="C334" s="73" t="n"/>
      <c r="D334" s="69" t="n"/>
      <c r="E334" s="73" t="n"/>
      <c r="F334" s="69" t="n"/>
      <c r="G334" s="69" t="n"/>
    </row>
    <row r="335">
      <c r="A335" s="69" t="n"/>
      <c r="B335" s="72" t="n"/>
      <c r="C335" s="73" t="n"/>
      <c r="D335" s="69" t="n"/>
      <c r="E335" s="73" t="n"/>
      <c r="F335" s="69" t="n"/>
      <c r="G335" s="69" t="n"/>
    </row>
    <row r="336">
      <c r="A336" s="69" t="n"/>
      <c r="B336" s="72" t="n"/>
      <c r="C336" s="73" t="n"/>
      <c r="D336" s="69" t="n"/>
      <c r="E336" s="73" t="n"/>
      <c r="F336" s="69" t="n"/>
      <c r="G336" s="69" t="n"/>
    </row>
    <row r="337">
      <c r="A337" s="69" t="n"/>
      <c r="B337" s="72" t="n"/>
      <c r="C337" s="73" t="n"/>
      <c r="D337" s="69" t="n"/>
      <c r="E337" s="73" t="n"/>
      <c r="F337" s="69" t="n"/>
      <c r="G337" s="69" t="n"/>
    </row>
    <row r="338">
      <c r="A338" s="69" t="n"/>
      <c r="B338" s="72" t="n"/>
      <c r="C338" s="73" t="n"/>
      <c r="D338" s="69" t="n"/>
      <c r="E338" s="73" t="n"/>
      <c r="F338" s="69" t="n"/>
      <c r="G338" s="69" t="n"/>
    </row>
    <row r="339">
      <c r="A339" s="69" t="n"/>
      <c r="B339" s="72" t="n"/>
      <c r="C339" s="73" t="n"/>
      <c r="D339" s="69" t="n"/>
      <c r="E339" s="73" t="n"/>
      <c r="F339" s="69" t="n"/>
      <c r="G339" s="69" t="n"/>
    </row>
    <row r="340">
      <c r="A340" s="69" t="n"/>
      <c r="B340" s="72" t="n"/>
      <c r="C340" s="73" t="n"/>
      <c r="D340" s="69" t="n"/>
      <c r="E340" s="73" t="n"/>
      <c r="F340" s="69" t="n"/>
      <c r="G340" s="69" t="n"/>
    </row>
    <row r="341">
      <c r="A341" s="69" t="n"/>
      <c r="B341" s="72" t="n"/>
      <c r="C341" s="73" t="n"/>
      <c r="D341" s="69" t="n"/>
      <c r="E341" s="73" t="n"/>
      <c r="F341" s="69" t="n"/>
      <c r="G341" s="69" t="n"/>
    </row>
    <row r="342">
      <c r="A342" s="69" t="n"/>
      <c r="B342" s="72" t="n"/>
      <c r="C342" s="73" t="n"/>
      <c r="D342" s="69" t="n"/>
      <c r="E342" s="73" t="n"/>
      <c r="F342" s="69" t="n"/>
      <c r="G342" s="69" t="n"/>
    </row>
    <row r="343">
      <c r="A343" s="69" t="n"/>
      <c r="B343" s="72" t="n"/>
      <c r="C343" s="73" t="n"/>
      <c r="D343" s="69" t="n"/>
      <c r="E343" s="73" t="n"/>
      <c r="F343" s="69" t="n"/>
      <c r="G343" s="69" t="n"/>
    </row>
    <row r="344">
      <c r="A344" s="69" t="n"/>
      <c r="B344" s="72" t="n"/>
      <c r="C344" s="73" t="n"/>
      <c r="D344" s="69" t="n"/>
      <c r="E344" s="73" t="n"/>
      <c r="F344" s="69" t="n"/>
      <c r="G344" s="69" t="n"/>
    </row>
    <row r="345">
      <c r="A345" s="69" t="n"/>
      <c r="B345" s="72" t="n"/>
      <c r="C345" s="73" t="n"/>
      <c r="D345" s="69" t="n"/>
      <c r="E345" s="73" t="n"/>
      <c r="F345" s="69" t="n"/>
      <c r="G345" s="69" t="n"/>
    </row>
    <row r="346">
      <c r="A346" s="69" t="n"/>
      <c r="B346" s="72" t="n"/>
      <c r="C346" s="73" t="n"/>
      <c r="D346" s="69" t="n"/>
      <c r="E346" s="73" t="n"/>
      <c r="F346" s="69" t="n"/>
      <c r="G346" s="69" t="n"/>
    </row>
    <row r="347">
      <c r="A347" s="69" t="n"/>
      <c r="B347" s="72" t="n"/>
      <c r="C347" s="73" t="n"/>
      <c r="D347" s="69" t="n"/>
      <c r="E347" s="73" t="n"/>
      <c r="F347" s="69" t="n"/>
      <c r="G347" s="69" t="n"/>
    </row>
    <row r="348">
      <c r="A348" s="69" t="n"/>
      <c r="B348" s="72" t="n"/>
      <c r="C348" s="73" t="n"/>
      <c r="D348" s="69" t="n"/>
      <c r="E348" s="73" t="n"/>
      <c r="F348" s="69" t="n"/>
      <c r="G348" s="69" t="n"/>
    </row>
    <row r="349">
      <c r="A349" s="69" t="n"/>
      <c r="B349" s="72" t="n"/>
      <c r="C349" s="73" t="n"/>
      <c r="D349" s="69" t="n"/>
      <c r="E349" s="73" t="n"/>
      <c r="F349" s="69" t="n"/>
      <c r="G349" s="69" t="n"/>
    </row>
    <row r="350">
      <c r="A350" s="69" t="n"/>
      <c r="B350" s="72" t="n"/>
      <c r="C350" s="73" t="n"/>
      <c r="D350" s="69" t="n"/>
      <c r="E350" s="73" t="n"/>
      <c r="F350" s="69" t="n"/>
      <c r="G350" s="69" t="n"/>
    </row>
    <row r="351">
      <c r="A351" s="69" t="n"/>
      <c r="B351" s="72" t="n"/>
      <c r="C351" s="73" t="n"/>
      <c r="D351" s="69" t="n"/>
      <c r="E351" s="73" t="n"/>
      <c r="F351" s="69" t="n"/>
      <c r="G351" s="69" t="n"/>
    </row>
    <row r="352">
      <c r="A352" s="69" t="n"/>
      <c r="B352" s="72" t="n"/>
      <c r="C352" s="73" t="n"/>
      <c r="D352" s="69" t="n"/>
      <c r="E352" s="73" t="n"/>
      <c r="F352" s="69" t="n"/>
      <c r="G352" s="69" t="n"/>
    </row>
    <row r="353">
      <c r="A353" s="69" t="n"/>
      <c r="B353" s="72" t="n"/>
      <c r="C353" s="73" t="n"/>
      <c r="D353" s="69" t="n"/>
      <c r="E353" s="73" t="n"/>
      <c r="F353" s="69" t="n"/>
      <c r="G353" s="69" t="n"/>
    </row>
    <row r="354">
      <c r="A354" s="69" t="n"/>
      <c r="B354" s="72" t="n"/>
      <c r="C354" s="73" t="n"/>
      <c r="D354" s="69" t="n"/>
      <c r="E354" s="73" t="n"/>
      <c r="F354" s="69" t="n"/>
      <c r="G354" s="69" t="n"/>
    </row>
    <row r="355">
      <c r="A355" s="69" t="n"/>
      <c r="B355" s="72" t="n"/>
      <c r="C355" s="73" t="n"/>
      <c r="D355" s="69" t="n"/>
      <c r="E355" s="73" t="n"/>
      <c r="F355" s="69" t="n"/>
      <c r="G355" s="69" t="n"/>
    </row>
    <row r="356">
      <c r="A356" s="69" t="n"/>
      <c r="B356" s="72" t="n"/>
      <c r="C356" s="73" t="n"/>
      <c r="D356" s="69" t="n"/>
      <c r="E356" s="73" t="n"/>
      <c r="F356" s="69" t="n"/>
      <c r="G356" s="69" t="n"/>
    </row>
    <row r="357">
      <c r="A357" s="69" t="n"/>
      <c r="B357" s="72" t="n"/>
      <c r="C357" s="73" t="n"/>
      <c r="D357" s="69" t="n"/>
      <c r="E357" s="73" t="n"/>
      <c r="F357" s="69" t="n"/>
      <c r="G357" s="69" t="n"/>
    </row>
    <row r="358">
      <c r="A358" s="69" t="n"/>
      <c r="B358" s="72" t="n"/>
      <c r="C358" s="73" t="n"/>
      <c r="D358" s="69" t="n"/>
      <c r="E358" s="73" t="n"/>
      <c r="F358" s="69" t="n"/>
      <c r="G358" s="69" t="n"/>
    </row>
    <row r="359">
      <c r="A359" s="69" t="n"/>
      <c r="B359" s="72" t="n"/>
      <c r="C359" s="73" t="n"/>
      <c r="D359" s="69" t="n"/>
      <c r="E359" s="73" t="n"/>
      <c r="F359" s="69" t="n"/>
      <c r="G359" s="69" t="n"/>
    </row>
    <row r="360">
      <c r="A360" s="69" t="n"/>
      <c r="B360" s="72" t="n"/>
      <c r="C360" s="73" t="n"/>
      <c r="D360" s="69" t="n"/>
      <c r="E360" s="73" t="n"/>
      <c r="F360" s="69" t="n"/>
      <c r="G360" s="69" t="n"/>
    </row>
    <row r="361">
      <c r="A361" s="69" t="n"/>
      <c r="B361" s="72" t="n"/>
      <c r="C361" s="73" t="n"/>
      <c r="D361" s="69" t="n"/>
      <c r="E361" s="73" t="n"/>
      <c r="F361" s="69" t="n"/>
      <c r="G361" s="69" t="n"/>
    </row>
    <row r="362">
      <c r="A362" s="69" t="n"/>
      <c r="B362" s="72" t="n"/>
      <c r="C362" s="73" t="n"/>
      <c r="D362" s="69" t="n"/>
      <c r="E362" s="73" t="n"/>
      <c r="F362" s="69" t="n"/>
      <c r="G362" s="69" t="n"/>
    </row>
    <row r="363">
      <c r="A363" s="69" t="n"/>
      <c r="B363" s="72" t="n"/>
      <c r="C363" s="73" t="n"/>
      <c r="D363" s="69" t="n"/>
      <c r="E363" s="73" t="n"/>
      <c r="F363" s="69" t="n"/>
      <c r="G363" s="69" t="n"/>
    </row>
    <row r="364">
      <c r="A364" s="69" t="n"/>
      <c r="B364" s="72" t="n"/>
      <c r="C364" s="73" t="n"/>
      <c r="D364" s="69" t="n"/>
      <c r="E364" s="73" t="n"/>
      <c r="F364" s="69" t="n"/>
      <c r="G364" s="69" t="n"/>
    </row>
    <row r="365">
      <c r="A365" s="69" t="n"/>
      <c r="B365" s="72" t="n"/>
      <c r="C365" s="73" t="n"/>
      <c r="D365" s="69" t="n"/>
      <c r="E365" s="73" t="n"/>
      <c r="F365" s="69" t="n"/>
      <c r="G365" s="69" t="n"/>
    </row>
    <row r="366">
      <c r="A366" s="69" t="n"/>
      <c r="B366" s="72" t="n"/>
      <c r="C366" s="73" t="n"/>
      <c r="D366" s="69" t="n"/>
      <c r="E366" s="73" t="n"/>
      <c r="F366" s="69" t="n"/>
      <c r="G366" s="69" t="n"/>
    </row>
    <row r="367">
      <c r="A367" s="69" t="n"/>
      <c r="B367" s="72" t="n"/>
      <c r="C367" s="73" t="n"/>
      <c r="D367" s="69" t="n"/>
      <c r="E367" s="73" t="n"/>
      <c r="F367" s="69" t="n"/>
      <c r="G367" s="69" t="n"/>
    </row>
    <row r="368">
      <c r="A368" s="69" t="n"/>
      <c r="B368" s="72" t="n"/>
      <c r="C368" s="73" t="n"/>
      <c r="D368" s="69" t="n"/>
      <c r="E368" s="73" t="n"/>
      <c r="F368" s="69" t="n"/>
      <c r="G368" s="69" t="n"/>
    </row>
    <row r="369">
      <c r="A369" s="69" t="n"/>
      <c r="B369" s="72" t="n"/>
      <c r="C369" s="73" t="n"/>
      <c r="D369" s="69" t="n"/>
      <c r="E369" s="73" t="n"/>
      <c r="F369" s="69" t="n"/>
      <c r="G369" s="69" t="n"/>
    </row>
    <row r="370">
      <c r="A370" s="69" t="n"/>
      <c r="B370" s="72" t="n"/>
      <c r="C370" s="73" t="n"/>
      <c r="D370" s="69" t="n"/>
      <c r="E370" s="73" t="n"/>
      <c r="F370" s="69" t="n"/>
      <c r="G370" s="69" t="n"/>
    </row>
    <row r="371">
      <c r="A371" s="69" t="n"/>
      <c r="B371" s="72" t="n"/>
      <c r="C371" s="73" t="n"/>
      <c r="D371" s="69" t="n"/>
      <c r="E371" s="73" t="n"/>
      <c r="F371" s="69" t="n"/>
      <c r="G371" s="69" t="n"/>
    </row>
    <row r="372">
      <c r="A372" s="69" t="n"/>
      <c r="B372" s="72" t="n"/>
      <c r="C372" s="73" t="n"/>
      <c r="D372" s="69" t="n"/>
      <c r="E372" s="73" t="n"/>
      <c r="F372" s="69" t="n"/>
      <c r="G372" s="69" t="n"/>
    </row>
    <row r="373">
      <c r="A373" s="69" t="n"/>
      <c r="B373" s="72" t="n"/>
      <c r="C373" s="73" t="n"/>
      <c r="D373" s="69" t="n"/>
      <c r="E373" s="73" t="n"/>
      <c r="F373" s="69" t="n"/>
      <c r="G373" s="69" t="n"/>
    </row>
    <row r="374">
      <c r="A374" s="69" t="n"/>
      <c r="B374" s="72" t="n"/>
      <c r="C374" s="73" t="n"/>
      <c r="D374" s="69" t="n"/>
      <c r="E374" s="73" t="n"/>
      <c r="F374" s="69" t="n"/>
      <c r="G374" s="69" t="n"/>
    </row>
    <row r="375">
      <c r="A375" s="69" t="n"/>
      <c r="B375" s="72" t="n"/>
      <c r="C375" s="73" t="n"/>
      <c r="D375" s="69" t="n"/>
      <c r="E375" s="73" t="n"/>
      <c r="F375" s="69" t="n"/>
      <c r="G375" s="69" t="n"/>
    </row>
    <row r="376">
      <c r="A376" s="69" t="n"/>
      <c r="B376" s="72" t="n"/>
      <c r="C376" s="73" t="n"/>
      <c r="D376" s="69" t="n"/>
      <c r="E376" s="73" t="n"/>
      <c r="F376" s="69" t="n"/>
      <c r="G376" s="69" t="n"/>
    </row>
    <row r="377">
      <c r="A377" s="69" t="n"/>
      <c r="B377" s="72" t="n"/>
      <c r="C377" s="73" t="n"/>
      <c r="D377" s="69" t="n"/>
      <c r="E377" s="73" t="n"/>
      <c r="F377" s="69" t="n"/>
      <c r="G377" s="69" t="n"/>
    </row>
    <row r="378">
      <c r="A378" s="69" t="n"/>
      <c r="B378" s="72" t="n"/>
      <c r="C378" s="73" t="n"/>
      <c r="D378" s="69" t="n"/>
      <c r="E378" s="73" t="n"/>
      <c r="F378" s="69" t="n"/>
      <c r="G378" s="69" t="n"/>
    </row>
    <row r="379">
      <c r="A379" s="69" t="n"/>
      <c r="B379" s="72" t="n"/>
      <c r="C379" s="73" t="n"/>
      <c r="D379" s="69" t="n"/>
      <c r="E379" s="73" t="n"/>
      <c r="F379" s="69" t="n"/>
      <c r="G379" s="69" t="n"/>
    </row>
    <row r="380">
      <c r="A380" s="69" t="n"/>
      <c r="B380" s="72" t="n"/>
      <c r="C380" s="73" t="n"/>
      <c r="D380" s="69" t="n"/>
      <c r="E380" s="73" t="n"/>
      <c r="F380" s="69" t="n"/>
      <c r="G380" s="69" t="n"/>
    </row>
    <row r="381">
      <c r="A381" s="69" t="n"/>
      <c r="B381" s="72" t="n"/>
      <c r="C381" s="73" t="n"/>
      <c r="D381" s="69" t="n"/>
      <c r="E381" s="73" t="n"/>
      <c r="F381" s="69" t="n"/>
      <c r="G381" s="69" t="n"/>
    </row>
    <row r="382">
      <c r="A382" s="69" t="n"/>
      <c r="B382" s="72" t="n"/>
      <c r="C382" s="73" t="n"/>
      <c r="D382" s="69" t="n"/>
      <c r="E382" s="73" t="n"/>
      <c r="F382" s="69" t="n"/>
      <c r="G382" s="69" t="n"/>
    </row>
    <row r="383">
      <c r="A383" s="69" t="n"/>
      <c r="B383" s="72" t="n"/>
      <c r="C383" s="73" t="n"/>
      <c r="D383" s="69" t="n"/>
      <c r="E383" s="73" t="n"/>
      <c r="F383" s="69" t="n"/>
      <c r="G383" s="69" t="n"/>
    </row>
    <row r="384">
      <c r="A384" s="69" t="n"/>
      <c r="B384" s="72" t="n"/>
      <c r="C384" s="73" t="n"/>
      <c r="D384" s="69" t="n"/>
      <c r="E384" s="73" t="n"/>
      <c r="F384" s="69" t="n"/>
      <c r="G384" s="69" t="n"/>
    </row>
    <row r="385">
      <c r="A385" s="69" t="n"/>
      <c r="B385" s="72" t="n"/>
      <c r="C385" s="73" t="n"/>
      <c r="D385" s="69" t="n"/>
      <c r="E385" s="73" t="n"/>
      <c r="F385" s="69" t="n"/>
      <c r="G385" s="69" t="n"/>
    </row>
    <row r="386">
      <c r="A386" s="69" t="n"/>
      <c r="B386" s="72" t="n"/>
      <c r="C386" s="73" t="n"/>
      <c r="D386" s="69" t="n"/>
      <c r="E386" s="73" t="n"/>
      <c r="F386" s="69" t="n"/>
      <c r="G386" s="69" t="n"/>
    </row>
    <row r="387">
      <c r="A387" s="69" t="n"/>
      <c r="B387" s="72" t="n"/>
      <c r="C387" s="73" t="n"/>
      <c r="D387" s="69" t="n"/>
      <c r="E387" s="73" t="n"/>
      <c r="F387" s="69" t="n"/>
      <c r="G387" s="69" t="n"/>
    </row>
    <row r="388">
      <c r="A388" s="69" t="n"/>
      <c r="B388" s="72" t="n"/>
      <c r="C388" s="73" t="n"/>
      <c r="D388" s="69" t="n"/>
      <c r="E388" s="73" t="n"/>
      <c r="F388" s="69" t="n"/>
      <c r="G388" s="69" t="n"/>
    </row>
    <row r="389">
      <c r="A389" s="69" t="n"/>
      <c r="B389" s="72" t="n"/>
      <c r="C389" s="73" t="n"/>
      <c r="D389" s="69" t="n"/>
      <c r="E389" s="73" t="n"/>
      <c r="F389" s="69" t="n"/>
      <c r="G389" s="69" t="n"/>
    </row>
    <row r="390">
      <c r="A390" s="69" t="n"/>
      <c r="B390" s="72" t="n"/>
      <c r="C390" s="73" t="n"/>
      <c r="D390" s="69" t="n"/>
      <c r="E390" s="73" t="n"/>
      <c r="F390" s="69" t="n"/>
      <c r="G390" s="69" t="n"/>
    </row>
    <row r="391">
      <c r="A391" s="69" t="n"/>
      <c r="B391" s="72" t="n"/>
      <c r="C391" s="73" t="n"/>
      <c r="D391" s="69" t="n"/>
      <c r="E391" s="73" t="n"/>
      <c r="F391" s="69" t="n"/>
      <c r="G391" s="69" t="n"/>
    </row>
    <row r="392">
      <c r="A392" s="69" t="n"/>
      <c r="B392" s="72" t="n"/>
      <c r="C392" s="73" t="n"/>
      <c r="D392" s="69" t="n"/>
      <c r="E392" s="73" t="n"/>
      <c r="F392" s="69" t="n"/>
      <c r="G392" s="69" t="n"/>
    </row>
    <row r="393">
      <c r="A393" s="69" t="n"/>
      <c r="B393" s="72" t="n"/>
      <c r="C393" s="73" t="n"/>
      <c r="D393" s="69" t="n"/>
      <c r="E393" s="73" t="n"/>
      <c r="F393" s="69" t="n"/>
      <c r="G393" s="69" t="n"/>
    </row>
    <row r="394">
      <c r="A394" s="69" t="n"/>
      <c r="B394" s="72" t="n"/>
      <c r="C394" s="73" t="n"/>
      <c r="D394" s="69" t="n"/>
      <c r="E394" s="73" t="n"/>
      <c r="F394" s="69" t="n"/>
      <c r="G394" s="69" t="n"/>
    </row>
    <row r="395">
      <c r="A395" s="69" t="n"/>
      <c r="B395" s="72" t="n"/>
      <c r="C395" s="73" t="n"/>
      <c r="D395" s="69" t="n"/>
      <c r="E395" s="73" t="n"/>
      <c r="F395" s="69" t="n"/>
      <c r="G395" s="69" t="n"/>
    </row>
    <row r="396">
      <c r="A396" s="69" t="n"/>
      <c r="B396" s="72" t="n"/>
      <c r="C396" s="73" t="n"/>
      <c r="D396" s="69" t="n"/>
      <c r="E396" s="73" t="n"/>
      <c r="F396" s="69" t="n"/>
      <c r="G396" s="69" t="n"/>
    </row>
    <row r="397">
      <c r="A397" s="69" t="n"/>
      <c r="B397" s="72" t="n"/>
      <c r="C397" s="73" t="n"/>
      <c r="D397" s="69" t="n"/>
      <c r="E397" s="73" t="n"/>
      <c r="F397" s="69" t="n"/>
      <c r="G397" s="69" t="n"/>
    </row>
    <row r="398">
      <c r="A398" s="69" t="n"/>
      <c r="B398" s="72" t="n"/>
      <c r="C398" s="73" t="n"/>
      <c r="D398" s="69" t="n"/>
      <c r="E398" s="73" t="n"/>
      <c r="F398" s="69" t="n"/>
      <c r="G398" s="69" t="n"/>
    </row>
    <row r="399">
      <c r="A399" s="69" t="n"/>
      <c r="B399" s="72" t="n"/>
      <c r="C399" s="73" t="n"/>
      <c r="D399" s="69" t="n"/>
      <c r="E399" s="73" t="n"/>
      <c r="F399" s="69" t="n"/>
      <c r="G399" s="69" t="n"/>
    </row>
    <row r="400">
      <c r="A400" s="69" t="n"/>
      <c r="B400" s="72" t="n"/>
      <c r="C400" s="73" t="n"/>
      <c r="D400" s="69" t="n"/>
      <c r="E400" s="73" t="n"/>
      <c r="F400" s="69" t="n"/>
      <c r="G400" s="69" t="n"/>
    </row>
    <row r="401">
      <c r="A401" s="69" t="n"/>
      <c r="B401" s="72" t="n"/>
      <c r="C401" s="73" t="n"/>
      <c r="D401" s="69" t="n"/>
      <c r="E401" s="73" t="n"/>
      <c r="F401" s="69" t="n"/>
      <c r="G401" s="69" t="n"/>
    </row>
    <row r="402">
      <c r="A402" s="69" t="n"/>
      <c r="B402" s="72" t="n"/>
      <c r="C402" s="73" t="n"/>
      <c r="D402" s="69" t="n"/>
      <c r="E402" s="73" t="n"/>
      <c r="F402" s="69" t="n"/>
      <c r="G402" s="69" t="n"/>
    </row>
    <row r="403">
      <c r="A403" s="69" t="n"/>
      <c r="B403" s="72" t="n"/>
      <c r="C403" s="73" t="n"/>
      <c r="D403" s="69" t="n"/>
      <c r="E403" s="73" t="n"/>
      <c r="F403" s="69" t="n"/>
      <c r="G403" s="69" t="n"/>
    </row>
    <row r="404">
      <c r="A404" s="69" t="n"/>
      <c r="B404" s="72" t="n"/>
      <c r="C404" s="73" t="n"/>
      <c r="D404" s="69" t="n"/>
      <c r="E404" s="73" t="n"/>
      <c r="F404" s="69" t="n"/>
      <c r="G404" s="69" t="n"/>
    </row>
    <row r="405">
      <c r="A405" s="69" t="n"/>
      <c r="B405" s="72" t="n"/>
      <c r="C405" s="73" t="n"/>
      <c r="D405" s="69" t="n"/>
      <c r="E405" s="73" t="n"/>
      <c r="F405" s="69" t="n"/>
      <c r="G405" s="69" t="n"/>
    </row>
    <row r="406">
      <c r="A406" s="69" t="n"/>
      <c r="B406" s="72" t="n"/>
      <c r="C406" s="73" t="n"/>
      <c r="D406" s="69" t="n"/>
      <c r="E406" s="73" t="n"/>
      <c r="F406" s="69" t="n"/>
      <c r="G406" s="69" t="n"/>
    </row>
    <row r="407">
      <c r="A407" s="69" t="n"/>
      <c r="B407" s="72" t="n"/>
      <c r="C407" s="73" t="n"/>
      <c r="D407" s="69" t="n"/>
      <c r="E407" s="73" t="n"/>
      <c r="F407" s="69" t="n"/>
      <c r="G407" s="69" t="n"/>
    </row>
    <row r="408">
      <c r="A408" s="69" t="n"/>
      <c r="B408" s="72" t="n"/>
      <c r="C408" s="73" t="n"/>
      <c r="D408" s="69" t="n"/>
      <c r="E408" s="73" t="n"/>
      <c r="F408" s="69" t="n"/>
      <c r="G408" s="69" t="n"/>
    </row>
    <row r="409">
      <c r="A409" s="69" t="n"/>
      <c r="B409" s="72" t="n"/>
      <c r="C409" s="73" t="n"/>
      <c r="D409" s="69" t="n"/>
      <c r="E409" s="73" t="n"/>
      <c r="F409" s="69" t="n"/>
      <c r="G409" s="69" t="n"/>
    </row>
    <row r="410">
      <c r="A410" s="69" t="n"/>
      <c r="B410" s="72" t="n"/>
      <c r="C410" s="73" t="n"/>
      <c r="D410" s="69" t="n"/>
      <c r="E410" s="73" t="n"/>
      <c r="F410" s="69" t="n"/>
      <c r="G410" s="69" t="n"/>
    </row>
    <row r="411">
      <c r="A411" s="69" t="n"/>
      <c r="B411" s="72" t="n"/>
      <c r="C411" s="73" t="n"/>
      <c r="D411" s="69" t="n"/>
      <c r="E411" s="73" t="n"/>
      <c r="F411" s="69" t="n"/>
      <c r="G411" s="69" t="n"/>
    </row>
    <row r="412">
      <c r="A412" s="69" t="n"/>
      <c r="B412" s="72" t="n"/>
      <c r="C412" s="73" t="n"/>
      <c r="D412" s="69" t="n"/>
      <c r="E412" s="73" t="n"/>
      <c r="F412" s="69" t="n"/>
      <c r="G412" s="69" t="n"/>
    </row>
    <row r="413">
      <c r="A413" s="69" t="n"/>
      <c r="B413" s="72" t="n"/>
      <c r="C413" s="73" t="n"/>
      <c r="D413" s="69" t="n"/>
      <c r="E413" s="73" t="n"/>
      <c r="F413" s="69" t="n"/>
      <c r="G413" s="69" t="n"/>
    </row>
    <row r="414">
      <c r="A414" s="69" t="n"/>
      <c r="B414" s="72" t="n"/>
      <c r="C414" s="73" t="n"/>
      <c r="D414" s="69" t="n"/>
      <c r="E414" s="73" t="n"/>
      <c r="F414" s="69" t="n"/>
      <c r="G414" s="69" t="n"/>
    </row>
    <row r="415">
      <c r="A415" s="69" t="n"/>
      <c r="B415" s="72" t="n"/>
      <c r="C415" s="73" t="n"/>
      <c r="D415" s="69" t="n"/>
      <c r="E415" s="73" t="n"/>
      <c r="F415" s="69" t="n"/>
      <c r="G415" s="69" t="n"/>
    </row>
    <row r="416">
      <c r="A416" s="69" t="n"/>
      <c r="B416" s="72" t="n"/>
      <c r="C416" s="73" t="n"/>
      <c r="D416" s="69" t="n"/>
      <c r="E416" s="73" t="n"/>
      <c r="F416" s="69" t="n"/>
      <c r="G416" s="69" t="n"/>
    </row>
    <row r="417">
      <c r="A417" s="69" t="n"/>
      <c r="B417" s="72" t="n"/>
      <c r="C417" s="73" t="n"/>
      <c r="D417" s="69" t="n"/>
      <c r="E417" s="73" t="n"/>
      <c r="F417" s="69" t="n"/>
      <c r="G417" s="69" t="n"/>
    </row>
    <row r="418">
      <c r="A418" s="69" t="n"/>
      <c r="B418" s="72" t="n"/>
      <c r="C418" s="73" t="n"/>
      <c r="D418" s="69" t="n"/>
      <c r="E418" s="73" t="n"/>
      <c r="F418" s="69" t="n"/>
      <c r="G418" s="69" t="n"/>
    </row>
    <row r="419">
      <c r="A419" s="69" t="n"/>
      <c r="B419" s="72" t="n"/>
      <c r="C419" s="73" t="n"/>
      <c r="D419" s="69" t="n"/>
      <c r="E419" s="73" t="n"/>
      <c r="F419" s="69" t="n"/>
      <c r="G419" s="69" t="n"/>
    </row>
    <row r="420">
      <c r="A420" s="69" t="n"/>
      <c r="B420" s="72" t="n"/>
      <c r="C420" s="73" t="n"/>
      <c r="D420" s="69" t="n"/>
      <c r="E420" s="73" t="n"/>
      <c r="F420" s="69" t="n"/>
      <c r="G420" s="69" t="n"/>
    </row>
    <row r="421">
      <c r="A421" s="69" t="n"/>
      <c r="B421" s="72" t="n"/>
      <c r="C421" s="73" t="n"/>
      <c r="D421" s="69" t="n"/>
      <c r="E421" s="73" t="n"/>
      <c r="F421" s="69" t="n"/>
      <c r="G421" s="69" t="n"/>
    </row>
    <row r="422">
      <c r="A422" s="69" t="n"/>
      <c r="B422" s="72" t="n"/>
      <c r="C422" s="73" t="n"/>
      <c r="D422" s="69" t="n"/>
      <c r="E422" s="73" t="n"/>
      <c r="F422" s="69" t="n"/>
      <c r="G422" s="69" t="n"/>
    </row>
    <row r="423">
      <c r="A423" s="69" t="n"/>
      <c r="B423" s="72" t="n"/>
      <c r="C423" s="73" t="n"/>
      <c r="D423" s="69" t="n"/>
      <c r="E423" s="73" t="n"/>
      <c r="F423" s="69" t="n"/>
      <c r="G423" s="69" t="n"/>
    </row>
    <row r="424">
      <c r="A424" s="69" t="n"/>
      <c r="B424" s="72" t="n"/>
      <c r="C424" s="73" t="n"/>
      <c r="D424" s="69" t="n"/>
      <c r="E424" s="73" t="n"/>
      <c r="F424" s="69" t="n"/>
      <c r="G424" s="69" t="n"/>
    </row>
    <row r="425">
      <c r="A425" s="69" t="n"/>
      <c r="B425" s="72" t="n"/>
      <c r="C425" s="73" t="n"/>
      <c r="D425" s="69" t="n"/>
      <c r="E425" s="73" t="n"/>
      <c r="F425" s="69" t="n"/>
      <c r="G425" s="69" t="n"/>
    </row>
    <row r="426">
      <c r="A426" s="69" t="n"/>
      <c r="B426" s="72" t="n"/>
      <c r="C426" s="73" t="n"/>
      <c r="D426" s="69" t="n"/>
      <c r="E426" s="73" t="n"/>
      <c r="F426" s="69" t="n"/>
      <c r="G426" s="69" t="n"/>
    </row>
    <row r="427">
      <c r="A427" s="69" t="n"/>
      <c r="B427" s="72" t="n"/>
      <c r="C427" s="73" t="n"/>
      <c r="D427" s="69" t="n"/>
      <c r="E427" s="73" t="n"/>
      <c r="F427" s="69" t="n"/>
      <c r="G427" s="69" t="n"/>
    </row>
    <row r="428">
      <c r="A428" s="69" t="n"/>
      <c r="B428" s="72" t="n"/>
      <c r="C428" s="73" t="n"/>
      <c r="D428" s="69" t="n"/>
      <c r="E428" s="73" t="n"/>
      <c r="F428" s="69" t="n"/>
      <c r="G428" s="69" t="n"/>
    </row>
    <row r="429">
      <c r="A429" s="69" t="n"/>
      <c r="B429" s="72" t="n"/>
      <c r="C429" s="73" t="n"/>
      <c r="D429" s="69" t="n"/>
      <c r="E429" s="73" t="n"/>
      <c r="F429" s="69" t="n"/>
      <c r="G429" s="69" t="n"/>
    </row>
    <row r="430">
      <c r="A430" s="69" t="n"/>
      <c r="B430" s="72" t="n"/>
      <c r="C430" s="73" t="n"/>
      <c r="D430" s="69" t="n"/>
      <c r="E430" s="73" t="n"/>
      <c r="F430" s="69" t="n"/>
      <c r="G430" s="69" t="n"/>
    </row>
    <row r="431">
      <c r="A431" s="69" t="n"/>
      <c r="B431" s="72" t="n"/>
      <c r="C431" s="73" t="n"/>
      <c r="D431" s="69" t="n"/>
      <c r="E431" s="73" t="n"/>
      <c r="F431" s="69" t="n"/>
      <c r="G431" s="69" t="n"/>
    </row>
    <row r="432">
      <c r="A432" s="69" t="n"/>
      <c r="B432" s="72" t="n"/>
      <c r="C432" s="73" t="n"/>
      <c r="D432" s="69" t="n"/>
      <c r="E432" s="73" t="n"/>
      <c r="F432" s="69" t="n"/>
      <c r="G432" s="69" t="n"/>
    </row>
    <row r="433">
      <c r="A433" s="69" t="n"/>
      <c r="B433" s="72" t="n"/>
      <c r="C433" s="73" t="n"/>
      <c r="D433" s="69" t="n"/>
      <c r="E433" s="73" t="n"/>
      <c r="F433" s="69" t="n"/>
      <c r="G433" s="69" t="n"/>
    </row>
    <row r="434">
      <c r="A434" s="69" t="n"/>
      <c r="B434" s="72" t="n"/>
      <c r="C434" s="73" t="n"/>
      <c r="D434" s="69" t="n"/>
      <c r="E434" s="73" t="n"/>
      <c r="F434" s="69" t="n"/>
      <c r="G434" s="69" t="n"/>
    </row>
    <row r="435">
      <c r="A435" s="69" t="n"/>
      <c r="B435" s="72" t="n"/>
      <c r="C435" s="73" t="n"/>
      <c r="D435" s="69" t="n"/>
      <c r="E435" s="73" t="n"/>
      <c r="F435" s="69" t="n"/>
      <c r="G435" s="69" t="n"/>
    </row>
    <row r="436">
      <c r="A436" s="69" t="n"/>
      <c r="B436" s="72" t="n"/>
      <c r="C436" s="73" t="n"/>
      <c r="D436" s="69" t="n"/>
      <c r="E436" s="73" t="n"/>
      <c r="F436" s="69" t="n"/>
      <c r="G436" s="69" t="n"/>
    </row>
    <row r="437">
      <c r="A437" s="69" t="n"/>
      <c r="B437" s="72" t="n"/>
      <c r="C437" s="73" t="n"/>
      <c r="D437" s="69" t="n"/>
      <c r="E437" s="73" t="n"/>
      <c r="F437" s="69" t="n"/>
      <c r="G437" s="69" t="n"/>
    </row>
    <row r="438">
      <c r="A438" s="69" t="n"/>
      <c r="B438" s="72" t="n"/>
      <c r="C438" s="73" t="n"/>
      <c r="D438" s="69" t="n"/>
      <c r="E438" s="73" t="n"/>
      <c r="F438" s="69" t="n"/>
      <c r="G438" s="69" t="n"/>
    </row>
    <row r="439">
      <c r="A439" s="69" t="n"/>
      <c r="B439" s="72" t="n"/>
      <c r="C439" s="73" t="n"/>
      <c r="D439" s="69" t="n"/>
      <c r="E439" s="73" t="n"/>
      <c r="F439" s="69" t="n"/>
      <c r="G439" s="69" t="n"/>
    </row>
    <row r="440">
      <c r="A440" s="69" t="n"/>
      <c r="B440" s="72" t="n"/>
      <c r="C440" s="73" t="n"/>
      <c r="D440" s="69" t="n"/>
      <c r="E440" s="73" t="n"/>
      <c r="F440" s="69" t="n"/>
      <c r="G440" s="69" t="n"/>
    </row>
    <row r="441">
      <c r="A441" s="69" t="n"/>
      <c r="B441" s="72" t="n"/>
      <c r="C441" s="73" t="n"/>
      <c r="D441" s="69" t="n"/>
      <c r="E441" s="73" t="n"/>
      <c r="F441" s="69" t="n"/>
      <c r="G441" s="69" t="n"/>
    </row>
    <row r="442">
      <c r="A442" s="69" t="n"/>
      <c r="B442" s="72" t="n"/>
      <c r="C442" s="73" t="n"/>
      <c r="D442" s="69" t="n"/>
      <c r="E442" s="73" t="n"/>
      <c r="F442" s="69" t="n"/>
      <c r="G442" s="69" t="n"/>
    </row>
    <row r="443">
      <c r="A443" s="69" t="n"/>
      <c r="B443" s="72" t="n"/>
      <c r="C443" s="73" t="n"/>
      <c r="D443" s="69" t="n"/>
      <c r="E443" s="73" t="n"/>
      <c r="F443" s="69" t="n"/>
      <c r="G443" s="69" t="n"/>
    </row>
    <row r="444">
      <c r="A444" s="69" t="n"/>
      <c r="B444" s="72" t="n"/>
      <c r="C444" s="73" t="n"/>
      <c r="D444" s="69" t="n"/>
      <c r="E444" s="73" t="n"/>
      <c r="F444" s="69" t="n"/>
      <c r="G444" s="69" t="n"/>
    </row>
    <row r="445">
      <c r="A445" s="69" t="n"/>
      <c r="B445" s="72" t="n"/>
      <c r="C445" s="73" t="n"/>
      <c r="D445" s="69" t="n"/>
      <c r="E445" s="73" t="n"/>
      <c r="F445" s="69" t="n"/>
      <c r="G445" s="69" t="n"/>
    </row>
    <row r="446">
      <c r="A446" s="69" t="n"/>
      <c r="B446" s="72" t="n"/>
      <c r="C446" s="73" t="n"/>
      <c r="D446" s="69" t="n"/>
      <c r="E446" s="73" t="n"/>
      <c r="F446" s="69" t="n"/>
      <c r="G446" s="69" t="n"/>
    </row>
    <row r="447">
      <c r="A447" s="69" t="n"/>
      <c r="B447" s="72" t="n"/>
      <c r="C447" s="73" t="n"/>
      <c r="D447" s="69" t="n"/>
      <c r="E447" s="73" t="n"/>
      <c r="F447" s="69" t="n"/>
      <c r="G447" s="69" t="n"/>
    </row>
    <row r="448">
      <c r="A448" s="69" t="n"/>
      <c r="B448" s="72" t="n"/>
      <c r="C448" s="73" t="n"/>
      <c r="D448" s="69" t="n"/>
      <c r="E448" s="73" t="n"/>
      <c r="F448" s="69" t="n"/>
      <c r="G448" s="69" t="n"/>
    </row>
    <row r="449">
      <c r="A449" s="69" t="n"/>
      <c r="B449" s="72" t="n"/>
      <c r="C449" s="73" t="n"/>
      <c r="D449" s="69" t="n"/>
      <c r="E449" s="73" t="n"/>
      <c r="F449" s="69" t="n"/>
      <c r="G449" s="69" t="n"/>
    </row>
    <row r="450">
      <c r="A450" s="69" t="n"/>
      <c r="B450" s="72" t="n"/>
      <c r="C450" s="73" t="n"/>
      <c r="D450" s="69" t="n"/>
      <c r="E450" s="73" t="n"/>
      <c r="F450" s="69" t="n"/>
      <c r="G450" s="69" t="n"/>
    </row>
    <row r="451">
      <c r="A451" s="69" t="n"/>
      <c r="B451" s="72" t="n"/>
      <c r="C451" s="73" t="n"/>
      <c r="D451" s="69" t="n"/>
      <c r="E451" s="73" t="n"/>
      <c r="F451" s="69" t="n"/>
      <c r="G451" s="69" t="n"/>
    </row>
    <row r="452">
      <c r="A452" s="69" t="n"/>
      <c r="B452" s="72" t="n"/>
      <c r="C452" s="73" t="n"/>
      <c r="D452" s="69" t="n"/>
      <c r="E452" s="73" t="n"/>
      <c r="F452" s="69" t="n"/>
      <c r="G452" s="69" t="n"/>
    </row>
    <row r="453">
      <c r="A453" s="69" t="n"/>
      <c r="B453" s="72" t="n"/>
      <c r="C453" s="73" t="n"/>
      <c r="D453" s="69" t="n"/>
      <c r="E453" s="73" t="n"/>
      <c r="F453" s="69" t="n"/>
      <c r="G453" s="69" t="n"/>
    </row>
    <row r="454">
      <c r="A454" s="69" t="n"/>
      <c r="B454" s="72" t="n"/>
      <c r="C454" s="73" t="n"/>
      <c r="D454" s="69" t="n"/>
      <c r="E454" s="73" t="n"/>
      <c r="F454" s="69" t="n"/>
      <c r="G454" s="69" t="n"/>
    </row>
    <row r="455">
      <c r="A455" s="69" t="n"/>
      <c r="B455" s="72" t="n"/>
      <c r="C455" s="73" t="n"/>
      <c r="D455" s="69" t="n"/>
      <c r="E455" s="73" t="n"/>
      <c r="F455" s="69" t="n"/>
      <c r="G455" s="69" t="n"/>
    </row>
    <row r="456">
      <c r="A456" s="69" t="n"/>
      <c r="B456" s="72" t="n"/>
      <c r="C456" s="73" t="n"/>
      <c r="D456" s="69" t="n"/>
      <c r="E456" s="73" t="n"/>
      <c r="F456" s="69" t="n"/>
      <c r="G456" s="69" t="n"/>
    </row>
    <row r="457">
      <c r="A457" s="69" t="n"/>
      <c r="B457" s="72" t="n"/>
      <c r="C457" s="73" t="n"/>
      <c r="D457" s="69" t="n"/>
      <c r="E457" s="73" t="n"/>
      <c r="F457" s="69" t="n"/>
      <c r="G457" s="69" t="n"/>
    </row>
    <row r="458">
      <c r="A458" s="69" t="n"/>
      <c r="B458" s="72" t="n"/>
      <c r="C458" s="73" t="n"/>
      <c r="D458" s="69" t="n"/>
      <c r="E458" s="73" t="n"/>
      <c r="F458" s="69" t="n"/>
      <c r="G458" s="69" t="n"/>
    </row>
    <row r="459">
      <c r="A459" s="69" t="n"/>
      <c r="B459" s="72" t="n"/>
      <c r="C459" s="73" t="n"/>
      <c r="D459" s="69" t="n"/>
      <c r="E459" s="73" t="n"/>
      <c r="F459" s="69" t="n"/>
      <c r="G459" s="69" t="n"/>
    </row>
    <row r="460">
      <c r="A460" s="69" t="n"/>
      <c r="B460" s="72" t="n"/>
      <c r="C460" s="73" t="n"/>
      <c r="D460" s="69" t="n"/>
      <c r="E460" s="73" t="n"/>
      <c r="F460" s="69" t="n"/>
      <c r="G460" s="69" t="n"/>
    </row>
    <row r="461">
      <c r="A461" s="69" t="n"/>
      <c r="B461" s="72" t="n"/>
      <c r="C461" s="73" t="n"/>
      <c r="D461" s="69" t="n"/>
      <c r="E461" s="73" t="n"/>
      <c r="F461" s="69" t="n"/>
      <c r="G461" s="69" t="n"/>
    </row>
    <row r="462">
      <c r="A462" s="69" t="n"/>
      <c r="B462" s="72" t="n"/>
      <c r="C462" s="73" t="n"/>
      <c r="D462" s="69" t="n"/>
      <c r="E462" s="73" t="n"/>
      <c r="F462" s="69" t="n"/>
      <c r="G462" s="69" t="n"/>
    </row>
    <row r="463">
      <c r="A463" s="69" t="n"/>
      <c r="B463" s="72" t="n"/>
      <c r="C463" s="73" t="n"/>
      <c r="D463" s="69" t="n"/>
      <c r="E463" s="73" t="n"/>
      <c r="F463" s="69" t="n"/>
      <c r="G463" s="69" t="n"/>
    </row>
    <row r="464">
      <c r="A464" s="69" t="n"/>
      <c r="B464" s="72" t="n"/>
      <c r="C464" s="73" t="n"/>
      <c r="D464" s="69" t="n"/>
      <c r="E464" s="73" t="n"/>
      <c r="F464" s="69" t="n"/>
      <c r="G464" s="69" t="n"/>
    </row>
    <row r="465">
      <c r="A465" s="69" t="n"/>
      <c r="B465" s="72" t="n"/>
      <c r="C465" s="73" t="n"/>
      <c r="D465" s="69" t="n"/>
      <c r="E465" s="73" t="n"/>
      <c r="F465" s="69" t="n"/>
      <c r="G465" s="69" t="n"/>
    </row>
    <row r="466">
      <c r="A466" s="69" t="n"/>
      <c r="B466" s="72" t="n"/>
      <c r="C466" s="73" t="n"/>
      <c r="D466" s="69" t="n"/>
      <c r="E466" s="73" t="n"/>
      <c r="F466" s="69" t="n"/>
      <c r="G466" s="69" t="n"/>
    </row>
    <row r="467">
      <c r="A467" s="69" t="n"/>
      <c r="B467" s="72" t="n"/>
      <c r="C467" s="73" t="n"/>
      <c r="D467" s="69" t="n"/>
      <c r="E467" s="73" t="n"/>
      <c r="F467" s="69" t="n"/>
      <c r="G467" s="69" t="n"/>
    </row>
    <row r="468">
      <c r="A468" s="69" t="n"/>
      <c r="B468" s="72" t="n"/>
      <c r="C468" s="73" t="n"/>
      <c r="D468" s="69" t="n"/>
      <c r="E468" s="73" t="n"/>
      <c r="F468" s="69" t="n"/>
      <c r="G468" s="69" t="n"/>
    </row>
    <row r="469">
      <c r="A469" s="69" t="n"/>
      <c r="B469" s="72" t="n"/>
      <c r="C469" s="73" t="n"/>
      <c r="D469" s="69" t="n"/>
      <c r="E469" s="73" t="n"/>
      <c r="F469" s="69" t="n"/>
      <c r="G469" s="69" t="n"/>
    </row>
    <row r="470">
      <c r="A470" s="69" t="n"/>
      <c r="B470" s="72" t="n"/>
      <c r="C470" s="73" t="n"/>
      <c r="D470" s="69" t="n"/>
      <c r="E470" s="73" t="n"/>
      <c r="F470" s="69" t="n"/>
      <c r="G470" s="69" t="n"/>
    </row>
    <row r="471">
      <c r="A471" s="69" t="n"/>
      <c r="B471" s="72" t="n"/>
      <c r="C471" s="73" t="n"/>
      <c r="D471" s="69" t="n"/>
      <c r="E471" s="73" t="n"/>
      <c r="F471" s="69" t="n"/>
      <c r="G471" s="69" t="n"/>
    </row>
    <row r="472">
      <c r="A472" s="69" t="n"/>
      <c r="B472" s="72" t="n"/>
      <c r="C472" s="73" t="n"/>
      <c r="D472" s="69" t="n"/>
      <c r="E472" s="73" t="n"/>
      <c r="F472" s="69" t="n"/>
      <c r="G472" s="69" t="n"/>
    </row>
    <row r="473">
      <c r="A473" s="69" t="n"/>
      <c r="B473" s="72" t="n"/>
      <c r="C473" s="73" t="n"/>
      <c r="D473" s="69" t="n"/>
      <c r="E473" s="73" t="n"/>
      <c r="F473" s="69" t="n"/>
      <c r="G473" s="69" t="n"/>
    </row>
    <row r="474">
      <c r="A474" s="69" t="n"/>
      <c r="B474" s="72" t="n"/>
      <c r="C474" s="73" t="n"/>
      <c r="D474" s="69" t="n"/>
      <c r="E474" s="73" t="n"/>
      <c r="F474" s="69" t="n"/>
      <c r="G474" s="69" t="n"/>
    </row>
    <row r="475">
      <c r="A475" s="69" t="n"/>
      <c r="B475" s="72" t="n"/>
      <c r="C475" s="73" t="n"/>
      <c r="D475" s="69" t="n"/>
      <c r="E475" s="73" t="n"/>
      <c r="F475" s="69" t="n"/>
      <c r="G475" s="69" t="n"/>
    </row>
    <row r="476">
      <c r="A476" s="69" t="n"/>
      <c r="B476" s="72" t="n"/>
      <c r="C476" s="73" t="n"/>
      <c r="D476" s="69" t="n"/>
      <c r="E476" s="73" t="n"/>
      <c r="F476" s="69" t="n"/>
      <c r="G476" s="69" t="n"/>
    </row>
    <row r="477">
      <c r="A477" s="69" t="n"/>
      <c r="B477" s="72" t="n"/>
      <c r="C477" s="73" t="n"/>
      <c r="D477" s="69" t="n"/>
      <c r="E477" s="73" t="n"/>
      <c r="F477" s="69" t="n"/>
      <c r="G477" s="69" t="n"/>
    </row>
    <row r="478">
      <c r="A478" s="69" t="n"/>
      <c r="B478" s="72" t="n"/>
      <c r="C478" s="73" t="n"/>
      <c r="D478" s="69" t="n"/>
      <c r="E478" s="73" t="n"/>
      <c r="F478" s="69" t="n"/>
      <c r="G478" s="69" t="n"/>
    </row>
    <row r="479">
      <c r="A479" s="69" t="n"/>
      <c r="B479" s="72" t="n"/>
      <c r="C479" s="73" t="n"/>
      <c r="D479" s="69" t="n"/>
      <c r="E479" s="73" t="n"/>
      <c r="F479" s="69" t="n"/>
      <c r="G479" s="69" t="n"/>
    </row>
    <row r="480">
      <c r="A480" s="69" t="n"/>
      <c r="B480" s="72" t="n"/>
      <c r="C480" s="73" t="n"/>
      <c r="D480" s="69" t="n"/>
      <c r="E480" s="73" t="n"/>
      <c r="F480" s="69" t="n"/>
      <c r="G480" s="69" t="n"/>
    </row>
    <row r="481">
      <c r="A481" s="69" t="n"/>
      <c r="B481" s="72" t="n"/>
      <c r="C481" s="73" t="n"/>
      <c r="D481" s="69" t="n"/>
      <c r="E481" s="73" t="n"/>
      <c r="F481" s="69" t="n"/>
      <c r="G481" s="69" t="n"/>
    </row>
    <row r="482">
      <c r="A482" s="69" t="n"/>
      <c r="B482" s="72" t="n"/>
      <c r="C482" s="73" t="n"/>
      <c r="D482" s="69" t="n"/>
      <c r="E482" s="73" t="n"/>
      <c r="F482" s="69" t="n"/>
      <c r="G482" s="69" t="n"/>
    </row>
    <row r="483">
      <c r="A483" s="69" t="n"/>
      <c r="B483" s="72" t="n"/>
      <c r="C483" s="73" t="n"/>
      <c r="D483" s="69" t="n"/>
      <c r="E483" s="73" t="n"/>
      <c r="F483" s="69" t="n"/>
      <c r="G483" s="69" t="n"/>
    </row>
    <row r="484">
      <c r="A484" s="69" t="n"/>
      <c r="B484" s="72" t="n"/>
      <c r="C484" s="73" t="n"/>
      <c r="D484" s="69" t="n"/>
      <c r="E484" s="73" t="n"/>
      <c r="F484" s="69" t="n"/>
      <c r="G484" s="69" t="n"/>
    </row>
    <row r="485">
      <c r="A485" s="69" t="n"/>
      <c r="B485" s="72" t="n"/>
      <c r="C485" s="73" t="n"/>
      <c r="D485" s="69" t="n"/>
      <c r="E485" s="73" t="n"/>
      <c r="F485" s="69" t="n"/>
      <c r="G485" s="69" t="n"/>
    </row>
    <row r="486">
      <c r="A486" s="69" t="n"/>
      <c r="B486" s="72" t="n"/>
      <c r="C486" s="73" t="n"/>
      <c r="D486" s="69" t="n"/>
      <c r="E486" s="73" t="n"/>
      <c r="F486" s="69" t="n"/>
      <c r="G486" s="69" t="n"/>
    </row>
    <row r="487">
      <c r="A487" s="69" t="n"/>
      <c r="B487" s="72" t="n"/>
      <c r="C487" s="73" t="n"/>
      <c r="D487" s="69" t="n"/>
      <c r="E487" s="73" t="n"/>
      <c r="F487" s="69" t="n"/>
      <c r="G487" s="69" t="n"/>
    </row>
    <row r="488">
      <c r="A488" s="69" t="n"/>
      <c r="B488" s="72" t="n"/>
      <c r="C488" s="73" t="n"/>
      <c r="D488" s="69" t="n"/>
      <c r="E488" s="73" t="n"/>
      <c r="F488" s="69" t="n"/>
      <c r="G488" s="69" t="n"/>
    </row>
    <row r="489">
      <c r="A489" s="69" t="n"/>
      <c r="B489" s="72" t="n"/>
      <c r="C489" s="73" t="n"/>
      <c r="D489" s="69" t="n"/>
      <c r="E489" s="73" t="n"/>
      <c r="F489" s="69" t="n"/>
      <c r="G489" s="69" t="n"/>
    </row>
    <row r="490">
      <c r="A490" s="69" t="n"/>
      <c r="B490" s="72" t="n"/>
      <c r="C490" s="73" t="n"/>
      <c r="D490" s="69" t="n"/>
      <c r="E490" s="73" t="n"/>
      <c r="F490" s="69" t="n"/>
      <c r="G490" s="69" t="n"/>
    </row>
    <row r="491">
      <c r="A491" s="69" t="n"/>
      <c r="B491" s="72" t="n"/>
      <c r="C491" s="73" t="n"/>
      <c r="D491" s="69" t="n"/>
      <c r="E491" s="73" t="n"/>
      <c r="F491" s="69" t="n"/>
      <c r="G491" s="69" t="n"/>
    </row>
    <row r="492">
      <c r="A492" s="69" t="n"/>
      <c r="B492" s="72" t="n"/>
      <c r="C492" s="73" t="n"/>
      <c r="D492" s="69" t="n"/>
      <c r="E492" s="73" t="n"/>
      <c r="F492" s="69" t="n"/>
      <c r="G492" s="69" t="n"/>
    </row>
    <row r="493">
      <c r="A493" s="69" t="n"/>
      <c r="B493" s="72" t="n"/>
      <c r="C493" s="73" t="n"/>
      <c r="D493" s="69" t="n"/>
      <c r="E493" s="73" t="n"/>
      <c r="F493" s="69" t="n"/>
      <c r="G493" s="69" t="n"/>
    </row>
    <row r="494">
      <c r="A494" s="69" t="n"/>
      <c r="B494" s="72" t="n"/>
      <c r="C494" s="73" t="n"/>
      <c r="D494" s="69" t="n"/>
      <c r="E494" s="73" t="n"/>
      <c r="F494" s="69" t="n"/>
      <c r="G494" s="69" t="n"/>
    </row>
    <row r="495">
      <c r="A495" s="69" t="n"/>
      <c r="B495" s="72" t="n"/>
      <c r="C495" s="73" t="n"/>
      <c r="D495" s="69" t="n"/>
      <c r="E495" s="73" t="n"/>
      <c r="F495" s="69" t="n"/>
      <c r="G495" s="69" t="n"/>
    </row>
    <row r="496">
      <c r="A496" s="69" t="n"/>
      <c r="B496" s="72" t="n"/>
      <c r="C496" s="73" t="n"/>
      <c r="D496" s="69" t="n"/>
      <c r="E496" s="73" t="n"/>
      <c r="F496" s="69" t="n"/>
      <c r="G496" s="69" t="n"/>
    </row>
    <row r="497">
      <c r="A497" s="69" t="n"/>
      <c r="B497" s="72" t="n"/>
      <c r="C497" s="73" t="n"/>
      <c r="D497" s="69" t="n"/>
      <c r="E497" s="73" t="n"/>
      <c r="F497" s="69" t="n"/>
      <c r="G497" s="69" t="n"/>
    </row>
    <row r="498">
      <c r="A498" s="69" t="n"/>
      <c r="B498" s="72" t="n"/>
      <c r="C498" s="73" t="n"/>
      <c r="D498" s="69" t="n"/>
      <c r="E498" s="73" t="n"/>
      <c r="F498" s="69" t="n"/>
      <c r="G498" s="69" t="n"/>
    </row>
    <row r="499">
      <c r="A499" s="69" t="n"/>
      <c r="B499" s="72" t="n"/>
      <c r="C499" s="73" t="n"/>
      <c r="D499" s="69" t="n"/>
      <c r="E499" s="73" t="n"/>
      <c r="F499" s="69" t="n"/>
      <c r="G499" s="69" t="n"/>
    </row>
    <row r="500">
      <c r="A500" s="69" t="n"/>
      <c r="B500" s="72" t="n"/>
      <c r="C500" s="73" t="n"/>
      <c r="D500" s="69" t="n"/>
      <c r="E500" s="73" t="n"/>
      <c r="F500" s="69" t="n"/>
      <c r="G500" s="69" t="n"/>
    </row>
    <row r="501">
      <c r="A501" s="69" t="n"/>
      <c r="B501" s="72" t="n"/>
      <c r="C501" s="73" t="n"/>
      <c r="D501" s="69" t="n"/>
      <c r="E501" s="73" t="n"/>
      <c r="F501" s="69" t="n"/>
      <c r="G501" s="69" t="n"/>
    </row>
    <row r="502">
      <c r="A502" s="69" t="n"/>
      <c r="B502" s="72" t="n"/>
      <c r="C502" s="73" t="n"/>
      <c r="D502" s="69" t="n"/>
      <c r="E502" s="73" t="n"/>
      <c r="F502" s="69" t="n"/>
      <c r="G502" s="69" t="n"/>
    </row>
    <row r="503">
      <c r="A503" s="69" t="n"/>
      <c r="B503" s="72" t="n"/>
      <c r="C503" s="73" t="n"/>
      <c r="D503" s="69" t="n"/>
      <c r="E503" s="73" t="n"/>
      <c r="F503" s="69" t="n"/>
      <c r="G503" s="69" t="n"/>
    </row>
    <row r="504">
      <c r="A504" s="69" t="n"/>
      <c r="B504" s="72" t="n"/>
      <c r="C504" s="73" t="n"/>
      <c r="D504" s="69" t="n"/>
      <c r="E504" s="73" t="n"/>
      <c r="F504" s="69" t="n"/>
      <c r="G504" s="69" t="n"/>
    </row>
    <row r="505">
      <c r="A505" s="69" t="n"/>
      <c r="B505" s="72" t="n"/>
      <c r="C505" s="73" t="n"/>
      <c r="D505" s="69" t="n"/>
      <c r="E505" s="73" t="n"/>
      <c r="F505" s="69" t="n"/>
      <c r="G505" s="69" t="n"/>
    </row>
    <row r="506">
      <c r="A506" s="69" t="n"/>
      <c r="B506" s="72" t="n"/>
      <c r="C506" s="73" t="n"/>
      <c r="D506" s="69" t="n"/>
      <c r="E506" s="73" t="n"/>
      <c r="F506" s="69" t="n"/>
      <c r="G506" s="69" t="n"/>
    </row>
    <row r="507">
      <c r="A507" s="69" t="n"/>
      <c r="B507" s="72" t="n"/>
      <c r="C507" s="73" t="n"/>
      <c r="D507" s="69" t="n"/>
      <c r="E507" s="73" t="n"/>
      <c r="F507" s="69" t="n"/>
      <c r="G507" s="69" t="n"/>
    </row>
    <row r="508">
      <c r="A508" s="69" t="n"/>
      <c r="B508" s="72" t="n"/>
      <c r="C508" s="73" t="n"/>
      <c r="D508" s="69" t="n"/>
      <c r="E508" s="73" t="n"/>
      <c r="F508" s="69" t="n"/>
      <c r="G508" s="69" t="n"/>
    </row>
    <row r="509">
      <c r="A509" s="69" t="n"/>
      <c r="B509" s="72" t="n"/>
      <c r="C509" s="73" t="n"/>
      <c r="D509" s="69" t="n"/>
      <c r="E509" s="73" t="n"/>
      <c r="F509" s="69" t="n"/>
      <c r="G509" s="69" t="n"/>
    </row>
    <row r="510">
      <c r="A510" s="69" t="n"/>
      <c r="B510" s="72" t="n"/>
      <c r="C510" s="73" t="n"/>
      <c r="D510" s="69" t="n"/>
      <c r="E510" s="73" t="n"/>
      <c r="F510" s="69" t="n"/>
      <c r="G510" s="69" t="n"/>
    </row>
    <row r="511">
      <c r="A511" s="69" t="n"/>
      <c r="B511" s="72" t="n"/>
      <c r="C511" s="73" t="n"/>
      <c r="D511" s="69" t="n"/>
      <c r="E511" s="73" t="n"/>
      <c r="F511" s="69" t="n"/>
      <c r="G511" s="69" t="n"/>
    </row>
    <row r="512">
      <c r="A512" s="69" t="n"/>
      <c r="B512" s="72" t="n"/>
      <c r="C512" s="73" t="n"/>
      <c r="D512" s="69" t="n"/>
      <c r="E512" s="73" t="n"/>
      <c r="F512" s="69" t="n"/>
      <c r="G512" s="69" t="n"/>
    </row>
    <row r="513">
      <c r="A513" s="69" t="n"/>
      <c r="B513" s="72" t="n"/>
      <c r="C513" s="73" t="n"/>
      <c r="D513" s="69" t="n"/>
      <c r="E513" s="73" t="n"/>
      <c r="F513" s="69" t="n"/>
      <c r="G513" s="69" t="n"/>
    </row>
    <row r="514">
      <c r="A514" s="69" t="n"/>
      <c r="B514" s="72" t="n"/>
      <c r="C514" s="73" t="n"/>
      <c r="D514" s="69" t="n"/>
      <c r="E514" s="73" t="n"/>
      <c r="F514" s="69" t="n"/>
      <c r="G514" s="69" t="n"/>
    </row>
    <row r="515">
      <c r="A515" s="69" t="n"/>
      <c r="B515" s="72" t="n"/>
      <c r="C515" s="73" t="n"/>
      <c r="D515" s="69" t="n"/>
      <c r="E515" s="73" t="n"/>
      <c r="F515" s="69" t="n"/>
      <c r="G515" s="69" t="n"/>
    </row>
    <row r="516">
      <c r="A516" s="69" t="n"/>
      <c r="B516" s="72" t="n"/>
      <c r="C516" s="73" t="n"/>
      <c r="D516" s="69" t="n"/>
      <c r="E516" s="73" t="n"/>
      <c r="F516" s="69" t="n"/>
      <c r="G516" s="69" t="n"/>
    </row>
    <row r="517">
      <c r="A517" s="69" t="n"/>
      <c r="B517" s="72" t="n"/>
      <c r="C517" s="73" t="n"/>
      <c r="D517" s="69" t="n"/>
      <c r="E517" s="73" t="n"/>
      <c r="F517" s="69" t="n"/>
      <c r="G517" s="69" t="n"/>
    </row>
    <row r="518">
      <c r="A518" s="69" t="n"/>
      <c r="B518" s="72" t="n"/>
      <c r="C518" s="73" t="n"/>
      <c r="D518" s="69" t="n"/>
      <c r="E518" s="73" t="n"/>
      <c r="F518" s="69" t="n"/>
      <c r="G518" s="69" t="n"/>
    </row>
    <row r="519">
      <c r="A519" s="69" t="n"/>
      <c r="B519" s="72" t="n"/>
      <c r="C519" s="73" t="n"/>
      <c r="D519" s="69" t="n"/>
      <c r="E519" s="73" t="n"/>
      <c r="F519" s="69" t="n"/>
      <c r="G519" s="69" t="n"/>
    </row>
    <row r="520">
      <c r="A520" s="69" t="n"/>
      <c r="B520" s="72" t="n"/>
      <c r="C520" s="73" t="n"/>
      <c r="D520" s="69" t="n"/>
      <c r="E520" s="73" t="n"/>
      <c r="F520" s="69" t="n"/>
      <c r="G520" s="69" t="n"/>
    </row>
    <row r="521">
      <c r="A521" s="69" t="n"/>
      <c r="B521" s="72" t="n"/>
      <c r="C521" s="73" t="n"/>
      <c r="D521" s="69" t="n"/>
      <c r="E521" s="73" t="n"/>
      <c r="F521" s="69" t="n"/>
      <c r="G521" s="69" t="n"/>
    </row>
    <row r="522">
      <c r="A522" s="69" t="n"/>
      <c r="B522" s="72" t="n"/>
      <c r="C522" s="73" t="n"/>
      <c r="D522" s="69" t="n"/>
      <c r="E522" s="73" t="n"/>
      <c r="F522" s="69" t="n"/>
      <c r="G522" s="69" t="n"/>
    </row>
    <row r="523">
      <c r="A523" s="69" t="n"/>
      <c r="B523" s="72" t="n"/>
      <c r="C523" s="73" t="n"/>
      <c r="D523" s="69" t="n"/>
      <c r="E523" s="73" t="n"/>
      <c r="F523" s="69" t="n"/>
      <c r="G523" s="69" t="n"/>
    </row>
    <row r="524">
      <c r="A524" s="69" t="n"/>
      <c r="B524" s="72" t="n"/>
      <c r="C524" s="73" t="n"/>
      <c r="D524" s="69" t="n"/>
      <c r="E524" s="73" t="n"/>
      <c r="F524" s="69" t="n"/>
      <c r="G524" s="69" t="n"/>
    </row>
    <row r="525">
      <c r="A525" s="69" t="n"/>
      <c r="B525" s="72" t="n"/>
      <c r="C525" s="73" t="n"/>
      <c r="D525" s="69" t="n"/>
      <c r="E525" s="73" t="n"/>
      <c r="F525" s="69" t="n"/>
      <c r="G525" s="69" t="n"/>
    </row>
    <row r="526">
      <c r="A526" s="69" t="n"/>
      <c r="B526" s="72" t="n"/>
      <c r="C526" s="73" t="n"/>
      <c r="D526" s="69" t="n"/>
      <c r="E526" s="73" t="n"/>
      <c r="F526" s="69" t="n"/>
      <c r="G526" s="69" t="n"/>
    </row>
    <row r="527">
      <c r="A527" s="69" t="n"/>
      <c r="B527" s="72" t="n"/>
      <c r="C527" s="73" t="n"/>
      <c r="D527" s="69" t="n"/>
      <c r="E527" s="73" t="n"/>
      <c r="F527" s="69" t="n"/>
      <c r="G527" s="69" t="n"/>
    </row>
    <row r="528">
      <c r="A528" s="69" t="n"/>
      <c r="B528" s="72" t="n"/>
      <c r="C528" s="73" t="n"/>
      <c r="D528" s="69" t="n"/>
      <c r="E528" s="73" t="n"/>
      <c r="F528" s="69" t="n"/>
      <c r="G528" s="69" t="n"/>
    </row>
    <row r="529">
      <c r="A529" s="69" t="n"/>
      <c r="B529" s="72" t="n"/>
      <c r="C529" s="73" t="n"/>
      <c r="D529" s="69" t="n"/>
      <c r="E529" s="73" t="n"/>
      <c r="F529" s="69" t="n"/>
      <c r="G529" s="69" t="n"/>
    </row>
    <row r="530">
      <c r="A530" s="69" t="n"/>
      <c r="B530" s="72" t="n"/>
      <c r="C530" s="73" t="n"/>
      <c r="D530" s="69" t="n"/>
      <c r="E530" s="73" t="n"/>
      <c r="F530" s="69" t="n"/>
      <c r="G530" s="69" t="n"/>
    </row>
    <row r="531">
      <c r="A531" s="69" t="n"/>
      <c r="B531" s="72" t="n"/>
      <c r="C531" s="73" t="n"/>
      <c r="D531" s="69" t="n"/>
      <c r="E531" s="73" t="n"/>
      <c r="F531" s="69" t="n"/>
      <c r="G531" s="69" t="n"/>
    </row>
    <row r="532">
      <c r="A532" s="69" t="n"/>
      <c r="B532" s="72" t="n"/>
      <c r="C532" s="73" t="n"/>
      <c r="D532" s="69" t="n"/>
      <c r="E532" s="73" t="n"/>
      <c r="F532" s="69" t="n"/>
      <c r="G532" s="69" t="n"/>
    </row>
    <row r="533">
      <c r="A533" s="69" t="n"/>
      <c r="B533" s="72" t="n"/>
      <c r="C533" s="73" t="n"/>
      <c r="D533" s="69" t="n"/>
      <c r="E533" s="73" t="n"/>
      <c r="F533" s="69" t="n"/>
      <c r="G533" s="69" t="n"/>
    </row>
    <row r="534">
      <c r="A534" s="69" t="n"/>
      <c r="B534" s="72" t="n"/>
      <c r="C534" s="73" t="n"/>
      <c r="D534" s="69" t="n"/>
      <c r="E534" s="73" t="n"/>
      <c r="F534" s="69" t="n"/>
      <c r="G534" s="69" t="n"/>
    </row>
    <row r="535">
      <c r="A535" s="69" t="n"/>
      <c r="B535" s="72" t="n"/>
      <c r="C535" s="73" t="n"/>
      <c r="D535" s="69" t="n"/>
      <c r="E535" s="73" t="n"/>
      <c r="F535" s="69" t="n"/>
      <c r="G535" s="69" t="n"/>
    </row>
    <row r="536">
      <c r="A536" s="69" t="n"/>
      <c r="B536" s="72" t="n"/>
      <c r="C536" s="73" t="n"/>
      <c r="D536" s="69" t="n"/>
      <c r="E536" s="73" t="n"/>
      <c r="F536" s="69" t="n"/>
      <c r="G536" s="69" t="n"/>
    </row>
    <row r="537">
      <c r="A537" s="69" t="n"/>
      <c r="B537" s="72" t="n"/>
      <c r="C537" s="73" t="n"/>
      <c r="D537" s="69" t="n"/>
      <c r="E537" s="73" t="n"/>
      <c r="F537" s="69" t="n"/>
      <c r="G537" s="69" t="n"/>
    </row>
    <row r="538">
      <c r="A538" s="69" t="n"/>
      <c r="B538" s="72" t="n"/>
      <c r="C538" s="73" t="n"/>
      <c r="D538" s="69" t="n"/>
      <c r="E538" s="73" t="n"/>
      <c r="F538" s="69" t="n"/>
      <c r="G538" s="69" t="n"/>
    </row>
    <row r="539">
      <c r="A539" s="69" t="n"/>
      <c r="B539" s="72" t="n"/>
      <c r="C539" s="73" t="n"/>
      <c r="D539" s="69" t="n"/>
      <c r="E539" s="73" t="n"/>
      <c r="F539" s="69" t="n"/>
      <c r="G539" s="69" t="n"/>
    </row>
    <row r="540">
      <c r="A540" s="69" t="n"/>
      <c r="B540" s="72" t="n"/>
      <c r="C540" s="73" t="n"/>
      <c r="D540" s="69" t="n"/>
      <c r="E540" s="73" t="n"/>
      <c r="F540" s="69" t="n"/>
      <c r="G540" s="69" t="n"/>
    </row>
    <row r="541">
      <c r="A541" s="69" t="n"/>
      <c r="B541" s="72" t="n"/>
      <c r="C541" s="73" t="n"/>
      <c r="D541" s="69" t="n"/>
      <c r="E541" s="73" t="n"/>
      <c r="F541" s="69" t="n"/>
      <c r="G541" s="69" t="n"/>
    </row>
    <row r="542">
      <c r="A542" s="69" t="n"/>
      <c r="B542" s="72" t="n"/>
      <c r="C542" s="73" t="n"/>
      <c r="D542" s="69" t="n"/>
      <c r="E542" s="73" t="n"/>
      <c r="F542" s="69" t="n"/>
      <c r="G542" s="69" t="n"/>
    </row>
    <row r="543">
      <c r="A543" s="69" t="n"/>
      <c r="B543" s="72" t="n"/>
      <c r="C543" s="73" t="n"/>
      <c r="D543" s="69" t="n"/>
      <c r="E543" s="73" t="n"/>
      <c r="F543" s="69" t="n"/>
      <c r="G543" s="69" t="n"/>
    </row>
    <row r="544">
      <c r="A544" s="69" t="n"/>
      <c r="B544" s="72" t="n"/>
      <c r="C544" s="73" t="n"/>
      <c r="D544" s="69" t="n"/>
      <c r="E544" s="73" t="n"/>
      <c r="F544" s="69" t="n"/>
      <c r="G544" s="69" t="n"/>
    </row>
    <row r="545">
      <c r="A545" s="69" t="n"/>
      <c r="B545" s="72" t="n"/>
      <c r="C545" s="73" t="n"/>
      <c r="D545" s="69" t="n"/>
      <c r="E545" s="73" t="n"/>
      <c r="F545" s="69" t="n"/>
      <c r="G545" s="69" t="n"/>
    </row>
    <row r="546">
      <c r="A546" s="69" t="n"/>
      <c r="B546" s="72" t="n"/>
      <c r="C546" s="73" t="n"/>
      <c r="D546" s="69" t="n"/>
      <c r="E546" s="73" t="n"/>
      <c r="F546" s="69" t="n"/>
      <c r="G546" s="69" t="n"/>
    </row>
    <row r="547">
      <c r="A547" s="69" t="n"/>
      <c r="B547" s="72" t="n"/>
      <c r="C547" s="73" t="n"/>
      <c r="D547" s="69" t="n"/>
      <c r="E547" s="73" t="n"/>
      <c r="F547" s="69" t="n"/>
      <c r="G547" s="69" t="n"/>
    </row>
    <row r="548">
      <c r="A548" s="69" t="n"/>
      <c r="B548" s="72" t="n"/>
      <c r="C548" s="73" t="n"/>
      <c r="D548" s="69" t="n"/>
      <c r="E548" s="73" t="n"/>
      <c r="F548" s="69" t="n"/>
      <c r="G548" s="69" t="n"/>
    </row>
    <row r="549">
      <c r="A549" s="69" t="n"/>
      <c r="B549" s="72" t="n"/>
      <c r="C549" s="73" t="n"/>
      <c r="D549" s="69" t="n"/>
      <c r="E549" s="73" t="n"/>
      <c r="F549" s="69" t="n"/>
      <c r="G549" s="69" t="n"/>
    </row>
    <row r="550">
      <c r="A550" s="69" t="n"/>
      <c r="B550" s="72" t="n"/>
      <c r="C550" s="73" t="n"/>
      <c r="D550" s="69" t="n"/>
      <c r="E550" s="73" t="n"/>
      <c r="F550" s="69" t="n"/>
      <c r="G550" s="69" t="n"/>
    </row>
    <row r="551">
      <c r="A551" s="69" t="n"/>
      <c r="B551" s="72" t="n"/>
      <c r="C551" s="73" t="n"/>
      <c r="D551" s="69" t="n"/>
      <c r="E551" s="73" t="n"/>
      <c r="F551" s="69" t="n"/>
      <c r="G551" s="69" t="n"/>
    </row>
    <row r="552">
      <c r="A552" s="69" t="n"/>
      <c r="B552" s="72" t="n"/>
      <c r="C552" s="73" t="n"/>
      <c r="D552" s="69" t="n"/>
      <c r="E552" s="73" t="n"/>
      <c r="F552" s="69" t="n"/>
      <c r="G552" s="69" t="n"/>
    </row>
    <row r="553">
      <c r="A553" s="69" t="n"/>
      <c r="B553" s="72" t="n"/>
      <c r="C553" s="73" t="n"/>
      <c r="D553" s="69" t="n"/>
      <c r="E553" s="73" t="n"/>
      <c r="F553" s="69" t="n"/>
      <c r="G553" s="69" t="n"/>
    </row>
    <row r="554">
      <c r="A554" s="69" t="n"/>
      <c r="B554" s="72" t="n"/>
      <c r="C554" s="73" t="n"/>
      <c r="D554" s="69" t="n"/>
      <c r="E554" s="73" t="n"/>
      <c r="F554" s="69" t="n"/>
      <c r="G554" s="69" t="n"/>
    </row>
    <row r="555">
      <c r="A555" s="69" t="n"/>
      <c r="B555" s="72" t="n"/>
      <c r="C555" s="73" t="n"/>
      <c r="D555" s="69" t="n"/>
      <c r="E555" s="73" t="n"/>
      <c r="F555" s="69" t="n"/>
      <c r="G555" s="69" t="n"/>
    </row>
    <row r="556">
      <c r="A556" s="69" t="n"/>
      <c r="B556" s="72" t="n"/>
      <c r="C556" s="73" t="n"/>
      <c r="D556" s="69" t="n"/>
      <c r="E556" s="73" t="n"/>
      <c r="F556" s="69" t="n"/>
      <c r="G556" s="69" t="n"/>
    </row>
    <row r="557">
      <c r="A557" s="69" t="n"/>
      <c r="B557" s="72" t="n"/>
      <c r="C557" s="73" t="n"/>
      <c r="D557" s="69" t="n"/>
      <c r="E557" s="73" t="n"/>
      <c r="F557" s="69" t="n"/>
      <c r="G557" s="69" t="n"/>
    </row>
    <row r="558">
      <c r="A558" s="69" t="n"/>
      <c r="B558" s="72" t="n"/>
      <c r="C558" s="73" t="n"/>
      <c r="D558" s="69" t="n"/>
      <c r="E558" s="73" t="n"/>
      <c r="F558" s="69" t="n"/>
      <c r="G558" s="69" t="n"/>
    </row>
    <row r="559">
      <c r="A559" s="69" t="n"/>
      <c r="B559" s="72" t="n"/>
      <c r="C559" s="73" t="n"/>
      <c r="D559" s="69" t="n"/>
      <c r="E559" s="73" t="n"/>
      <c r="F559" s="69" t="n"/>
      <c r="G559" s="69" t="n"/>
    </row>
    <row r="560">
      <c r="A560" s="69" t="n"/>
      <c r="B560" s="72" t="n"/>
      <c r="C560" s="73" t="n"/>
      <c r="D560" s="69" t="n"/>
      <c r="E560" s="73" t="n"/>
      <c r="F560" s="69" t="n"/>
      <c r="G560" s="69" t="n"/>
    </row>
    <row r="561">
      <c r="A561" s="69" t="n"/>
      <c r="B561" s="72" t="n"/>
      <c r="C561" s="73" t="n"/>
      <c r="D561" s="69" t="n"/>
      <c r="E561" s="73" t="n"/>
      <c r="F561" s="69" t="n"/>
      <c r="G561" s="69" t="n"/>
    </row>
    <row r="562">
      <c r="A562" s="69" t="n"/>
      <c r="B562" s="72" t="n"/>
      <c r="C562" s="73" t="n"/>
      <c r="D562" s="69" t="n"/>
      <c r="E562" s="73" t="n"/>
      <c r="F562" s="69" t="n"/>
      <c r="G562" s="69" t="n"/>
    </row>
    <row r="563">
      <c r="A563" s="69" t="n"/>
      <c r="B563" s="72" t="n"/>
      <c r="C563" s="73" t="n"/>
      <c r="D563" s="69" t="n"/>
      <c r="E563" s="73" t="n"/>
      <c r="F563" s="69" t="n"/>
      <c r="G563" s="69" t="n"/>
    </row>
    <row r="564">
      <c r="A564" s="69" t="n"/>
      <c r="B564" s="72" t="n"/>
      <c r="C564" s="73" t="n"/>
      <c r="D564" s="69" t="n"/>
      <c r="E564" s="73" t="n"/>
      <c r="F564" s="69" t="n"/>
      <c r="G564" s="69" t="n"/>
    </row>
    <row r="565">
      <c r="A565" s="69" t="n"/>
      <c r="B565" s="72" t="n"/>
      <c r="C565" s="73" t="n"/>
      <c r="D565" s="69" t="n"/>
      <c r="E565" s="73" t="n"/>
      <c r="F565" s="69" t="n"/>
      <c r="G565" s="69" t="n"/>
    </row>
    <row r="566">
      <c r="A566" s="69" t="n"/>
      <c r="B566" s="72" t="n"/>
      <c r="C566" s="73" t="n"/>
      <c r="D566" s="69" t="n"/>
      <c r="E566" s="73" t="n"/>
      <c r="F566" s="69" t="n"/>
      <c r="G566" s="69" t="n"/>
    </row>
    <row r="567">
      <c r="A567" s="69" t="n"/>
      <c r="B567" s="72" t="n"/>
      <c r="C567" s="73" t="n"/>
      <c r="D567" s="69" t="n"/>
      <c r="E567" s="73" t="n"/>
      <c r="F567" s="69" t="n"/>
      <c r="G567" s="69" t="n"/>
    </row>
    <row r="568">
      <c r="A568" s="69" t="n"/>
      <c r="B568" s="72" t="n"/>
      <c r="C568" s="73" t="n"/>
      <c r="D568" s="69" t="n"/>
      <c r="E568" s="73" t="n"/>
      <c r="F568" s="69" t="n"/>
      <c r="G568" s="69" t="n"/>
    </row>
    <row r="569">
      <c r="A569" s="69" t="n"/>
      <c r="B569" s="72" t="n"/>
      <c r="C569" s="73" t="n"/>
      <c r="D569" s="69" t="n"/>
      <c r="E569" s="73" t="n"/>
      <c r="F569" s="69" t="n"/>
      <c r="G569" s="69" t="n"/>
    </row>
    <row r="570">
      <c r="A570" s="69" t="n"/>
      <c r="B570" s="72" t="n"/>
      <c r="C570" s="73" t="n"/>
      <c r="D570" s="69" t="n"/>
      <c r="E570" s="73" t="n"/>
      <c r="F570" s="69" t="n"/>
      <c r="G570" s="69" t="n"/>
    </row>
    <row r="571">
      <c r="A571" s="69" t="n"/>
      <c r="B571" s="72" t="n"/>
      <c r="C571" s="73" t="n"/>
      <c r="D571" s="69" t="n"/>
      <c r="E571" s="73" t="n"/>
      <c r="F571" s="69" t="n"/>
      <c r="G571" s="69" t="n"/>
    </row>
    <row r="572">
      <c r="A572" s="69" t="n"/>
      <c r="B572" s="72" t="n"/>
      <c r="C572" s="73" t="n"/>
      <c r="D572" s="69" t="n"/>
      <c r="E572" s="73" t="n"/>
      <c r="F572" s="69" t="n"/>
      <c r="G572" s="69" t="n"/>
    </row>
    <row r="573">
      <c r="A573" s="69" t="n"/>
      <c r="B573" s="72" t="n"/>
      <c r="C573" s="73" t="n"/>
      <c r="D573" s="69" t="n"/>
      <c r="E573" s="73" t="n"/>
      <c r="F573" s="69" t="n"/>
      <c r="G573" s="69" t="n"/>
    </row>
    <row r="574">
      <c r="A574" s="69" t="n"/>
      <c r="B574" s="72" t="n"/>
      <c r="C574" s="73" t="n"/>
      <c r="D574" s="69" t="n"/>
      <c r="E574" s="73" t="n"/>
      <c r="F574" s="69" t="n"/>
      <c r="G574" s="69" t="n"/>
    </row>
    <row r="575">
      <c r="A575" s="69" t="n"/>
      <c r="B575" s="72" t="n"/>
      <c r="C575" s="73" t="n"/>
      <c r="D575" s="69" t="n"/>
      <c r="E575" s="73" t="n"/>
      <c r="F575" s="69" t="n"/>
      <c r="G575" s="69" t="n"/>
    </row>
    <row r="576">
      <c r="A576" s="69" t="n"/>
      <c r="B576" s="72" t="n"/>
      <c r="C576" s="73" t="n"/>
      <c r="D576" s="69" t="n"/>
      <c r="E576" s="73" t="n"/>
      <c r="F576" s="69" t="n"/>
      <c r="G576" s="69" t="n"/>
    </row>
    <row r="577">
      <c r="A577" s="69" t="n"/>
      <c r="B577" s="72" t="n"/>
      <c r="C577" s="73" t="n"/>
      <c r="D577" s="69" t="n"/>
      <c r="E577" s="73" t="n"/>
      <c r="F577" s="69" t="n"/>
      <c r="G577" s="69" t="n"/>
    </row>
    <row r="578">
      <c r="A578" s="69" t="n"/>
      <c r="B578" s="72" t="n"/>
      <c r="C578" s="73" t="n"/>
      <c r="D578" s="69" t="n"/>
      <c r="E578" s="73" t="n"/>
      <c r="F578" s="69" t="n"/>
      <c r="G578" s="69" t="n"/>
    </row>
    <row r="579">
      <c r="A579" s="69" t="n"/>
      <c r="B579" s="72" t="n"/>
      <c r="C579" s="73" t="n"/>
      <c r="D579" s="69" t="n"/>
      <c r="E579" s="73" t="n"/>
      <c r="F579" s="69" t="n"/>
      <c r="G579" s="69" t="n"/>
    </row>
    <row r="580">
      <c r="A580" s="69" t="n"/>
      <c r="B580" s="72" t="n"/>
      <c r="C580" s="73" t="n"/>
      <c r="D580" s="69" t="n"/>
      <c r="E580" s="73" t="n"/>
      <c r="F580" s="69" t="n"/>
      <c r="G580" s="69" t="n"/>
    </row>
    <row r="581">
      <c r="A581" s="69" t="n"/>
      <c r="B581" s="72" t="n"/>
      <c r="C581" s="73" t="n"/>
      <c r="D581" s="69" t="n"/>
      <c r="E581" s="73" t="n"/>
      <c r="F581" s="69" t="n"/>
      <c r="G581" s="69" t="n"/>
    </row>
    <row r="582">
      <c r="A582" s="69" t="n"/>
      <c r="B582" s="72" t="n"/>
      <c r="C582" s="73" t="n"/>
      <c r="D582" s="69" t="n"/>
      <c r="E582" s="73" t="n"/>
      <c r="F582" s="69" t="n"/>
      <c r="G582" s="69" t="n"/>
    </row>
    <row r="583">
      <c r="A583" s="69" t="n"/>
      <c r="B583" s="72" t="n"/>
      <c r="C583" s="73" t="n"/>
      <c r="D583" s="69" t="n"/>
      <c r="E583" s="73" t="n"/>
      <c r="F583" s="69" t="n"/>
      <c r="G583" s="69" t="n"/>
    </row>
    <row r="584">
      <c r="A584" s="69" t="n"/>
      <c r="B584" s="72" t="n"/>
      <c r="C584" s="73" t="n"/>
      <c r="D584" s="69" t="n"/>
      <c r="E584" s="73" t="n"/>
      <c r="F584" s="69" t="n"/>
      <c r="G584" s="69" t="n"/>
    </row>
    <row r="585">
      <c r="A585" s="69" t="n"/>
      <c r="B585" s="72" t="n"/>
      <c r="C585" s="73" t="n"/>
      <c r="D585" s="69" t="n"/>
      <c r="E585" s="73" t="n"/>
      <c r="F585" s="69" t="n"/>
      <c r="G585" s="69" t="n"/>
    </row>
    <row r="586">
      <c r="A586" s="69" t="n"/>
      <c r="B586" s="72" t="n"/>
      <c r="C586" s="73" t="n"/>
      <c r="D586" s="69" t="n"/>
      <c r="E586" s="73" t="n"/>
      <c r="F586" s="69" t="n"/>
      <c r="G586" s="69" t="n"/>
    </row>
    <row r="587">
      <c r="A587" s="69" t="n"/>
      <c r="B587" s="72" t="n"/>
      <c r="C587" s="73" t="n"/>
      <c r="D587" s="69" t="n"/>
      <c r="E587" s="73" t="n"/>
      <c r="F587" s="69" t="n"/>
      <c r="G587" s="69" t="n"/>
    </row>
    <row r="588">
      <c r="A588" s="69" t="n"/>
      <c r="B588" s="72" t="n"/>
      <c r="C588" s="73" t="n"/>
      <c r="D588" s="69" t="n"/>
      <c r="E588" s="73" t="n"/>
      <c r="F588" s="69" t="n"/>
      <c r="G588" s="69" t="n"/>
    </row>
    <row r="589">
      <c r="A589" s="69" t="n"/>
      <c r="B589" s="72" t="n"/>
      <c r="C589" s="73" t="n"/>
      <c r="D589" s="69" t="n"/>
      <c r="E589" s="73" t="n"/>
      <c r="F589" s="69" t="n"/>
      <c r="G589" s="69" t="n"/>
    </row>
    <row r="590">
      <c r="A590" s="69" t="n"/>
      <c r="B590" s="72" t="n"/>
      <c r="C590" s="73" t="n"/>
      <c r="D590" s="69" t="n"/>
      <c r="E590" s="73" t="n"/>
      <c r="F590" s="69" t="n"/>
      <c r="G590" s="69" t="n"/>
    </row>
    <row r="591">
      <c r="A591" s="69" t="n"/>
      <c r="B591" s="72" t="n"/>
      <c r="C591" s="73" t="n"/>
      <c r="D591" s="69" t="n"/>
      <c r="E591" s="73" t="n"/>
      <c r="F591" s="69" t="n"/>
      <c r="G591" s="69" t="n"/>
    </row>
    <row r="592">
      <c r="A592" s="69" t="n"/>
      <c r="B592" s="72" t="n"/>
      <c r="C592" s="73" t="n"/>
      <c r="D592" s="69" t="n"/>
      <c r="E592" s="73" t="n"/>
      <c r="F592" s="69" t="n"/>
      <c r="G592" s="69" t="n"/>
    </row>
    <row r="593">
      <c r="A593" s="69" t="n"/>
      <c r="B593" s="72" t="n"/>
      <c r="C593" s="73" t="n"/>
      <c r="D593" s="69" t="n"/>
      <c r="E593" s="73" t="n"/>
      <c r="F593" s="69" t="n"/>
      <c r="G593" s="69" t="n"/>
    </row>
    <row r="594">
      <c r="A594" s="69" t="n"/>
      <c r="B594" s="72" t="n"/>
      <c r="C594" s="73" t="n"/>
      <c r="D594" s="69" t="n"/>
      <c r="E594" s="73" t="n"/>
      <c r="F594" s="69" t="n"/>
      <c r="G594" s="69" t="n"/>
    </row>
    <row r="595">
      <c r="A595" s="69" t="n"/>
      <c r="B595" s="72" t="n"/>
      <c r="C595" s="73" t="n"/>
      <c r="D595" s="69" t="n"/>
      <c r="E595" s="73" t="n"/>
      <c r="F595" s="69" t="n"/>
      <c r="G595" s="69" t="n"/>
    </row>
    <row r="596">
      <c r="A596" s="69" t="n"/>
      <c r="B596" s="72" t="n"/>
      <c r="C596" s="73" t="n"/>
      <c r="D596" s="69" t="n"/>
      <c r="E596" s="73" t="n"/>
      <c r="F596" s="69" t="n"/>
      <c r="G596" s="69" t="n"/>
    </row>
    <row r="597">
      <c r="A597" s="69" t="n"/>
      <c r="B597" s="72" t="n"/>
      <c r="C597" s="73" t="n"/>
      <c r="D597" s="69" t="n"/>
      <c r="E597" s="73" t="n"/>
      <c r="F597" s="69" t="n"/>
      <c r="G597" s="69" t="n"/>
    </row>
    <row r="598">
      <c r="A598" s="69" t="n"/>
      <c r="B598" s="72" t="n"/>
      <c r="C598" s="73" t="n"/>
      <c r="D598" s="69" t="n"/>
      <c r="E598" s="73" t="n"/>
      <c r="F598" s="69" t="n"/>
      <c r="G598" s="69" t="n"/>
    </row>
    <row r="599">
      <c r="A599" s="69" t="n"/>
      <c r="B599" s="72" t="n"/>
      <c r="C599" s="73" t="n"/>
      <c r="D599" s="69" t="n"/>
      <c r="E599" s="73" t="n"/>
      <c r="F599" s="69" t="n"/>
      <c r="G599" s="69" t="n"/>
    </row>
    <row r="600">
      <c r="A600" s="69" t="n"/>
      <c r="B600" s="72" t="n"/>
      <c r="C600" s="73" t="n"/>
      <c r="D600" s="69" t="n"/>
      <c r="E600" s="73" t="n"/>
      <c r="F600" s="69" t="n"/>
      <c r="G600" s="69" t="n"/>
    </row>
    <row r="601">
      <c r="A601" s="69" t="n"/>
      <c r="B601" s="72" t="n"/>
      <c r="C601" s="73" t="n"/>
      <c r="D601" s="69" t="n"/>
      <c r="E601" s="73" t="n"/>
      <c r="F601" s="69" t="n"/>
      <c r="G601" s="69" t="n"/>
    </row>
    <row r="602">
      <c r="A602" s="69" t="n"/>
      <c r="B602" s="72" t="n"/>
      <c r="C602" s="73" t="n"/>
      <c r="D602" s="69" t="n"/>
      <c r="E602" s="73" t="n"/>
      <c r="F602" s="69" t="n"/>
      <c r="G602" s="69" t="n"/>
    </row>
    <row r="603">
      <c r="A603" s="69" t="n"/>
      <c r="B603" s="72" t="n"/>
      <c r="C603" s="73" t="n"/>
      <c r="D603" s="69" t="n"/>
      <c r="E603" s="73" t="n"/>
      <c r="F603" s="69" t="n"/>
      <c r="G603" s="69" t="n"/>
    </row>
    <row r="604">
      <c r="A604" s="69" t="n"/>
      <c r="B604" s="72" t="n"/>
      <c r="C604" s="73" t="n"/>
      <c r="D604" s="69" t="n"/>
      <c r="E604" s="73" t="n"/>
      <c r="F604" s="69" t="n"/>
      <c r="G604" s="69" t="n"/>
    </row>
    <row r="605">
      <c r="A605" s="69" t="n"/>
      <c r="B605" s="72" t="n"/>
      <c r="C605" s="73" t="n"/>
      <c r="D605" s="69" t="n"/>
      <c r="E605" s="73" t="n"/>
      <c r="F605" s="69" t="n"/>
      <c r="G605" s="69" t="n"/>
    </row>
    <row r="606">
      <c r="A606" s="69" t="n"/>
      <c r="B606" s="72" t="n"/>
      <c r="C606" s="73" t="n"/>
      <c r="D606" s="69" t="n"/>
      <c r="E606" s="73" t="n"/>
      <c r="F606" s="69" t="n"/>
      <c r="G606" s="69" t="n"/>
    </row>
    <row r="607">
      <c r="A607" s="69" t="n"/>
      <c r="B607" s="72" t="n"/>
      <c r="C607" s="73" t="n"/>
      <c r="D607" s="69" t="n"/>
      <c r="E607" s="73" t="n"/>
      <c r="F607" s="69" t="n"/>
      <c r="G607" s="69" t="n"/>
    </row>
    <row r="608">
      <c r="A608" s="69" t="n"/>
      <c r="B608" s="72" t="n"/>
      <c r="C608" s="73" t="n"/>
      <c r="D608" s="69" t="n"/>
      <c r="E608" s="73" t="n"/>
      <c r="F608" s="69" t="n"/>
      <c r="G608" s="69" t="n"/>
    </row>
    <row r="609">
      <c r="A609" s="69" t="n"/>
      <c r="B609" s="72" t="n"/>
      <c r="C609" s="73" t="n"/>
      <c r="D609" s="69" t="n"/>
      <c r="E609" s="73" t="n"/>
      <c r="F609" s="69" t="n"/>
      <c r="G609" s="69" t="n"/>
    </row>
    <row r="610">
      <c r="A610" s="69" t="n"/>
      <c r="B610" s="72" t="n"/>
      <c r="C610" s="73" t="n"/>
      <c r="D610" s="69" t="n"/>
      <c r="E610" s="73" t="n"/>
      <c r="F610" s="69" t="n"/>
      <c r="G610" s="69" t="n"/>
    </row>
    <row r="611">
      <c r="A611" s="69" t="n"/>
      <c r="B611" s="72" t="n"/>
      <c r="C611" s="73" t="n"/>
      <c r="D611" s="69" t="n"/>
      <c r="E611" s="73" t="n"/>
      <c r="F611" s="69" t="n"/>
      <c r="G611" s="69" t="n"/>
    </row>
    <row r="612">
      <c r="A612" s="69" t="n"/>
      <c r="B612" s="72" t="n"/>
      <c r="C612" s="73" t="n"/>
      <c r="D612" s="69" t="n"/>
      <c r="E612" s="73" t="n"/>
      <c r="F612" s="69" t="n"/>
      <c r="G612" s="69" t="n"/>
    </row>
    <row r="613">
      <c r="A613" s="69" t="n"/>
      <c r="B613" s="72" t="n"/>
      <c r="C613" s="73" t="n"/>
      <c r="D613" s="69" t="n"/>
      <c r="E613" s="73" t="n"/>
      <c r="F613" s="69" t="n"/>
      <c r="G613" s="69" t="n"/>
    </row>
    <row r="614">
      <c r="A614" s="69" t="n"/>
      <c r="B614" s="72" t="n"/>
      <c r="C614" s="73" t="n"/>
      <c r="D614" s="69" t="n"/>
      <c r="E614" s="73" t="n"/>
      <c r="F614" s="69" t="n"/>
      <c r="G614" s="69" t="n"/>
    </row>
    <row r="615">
      <c r="A615" s="69" t="n"/>
      <c r="B615" s="72" t="n"/>
      <c r="C615" s="73" t="n"/>
      <c r="D615" s="69" t="n"/>
      <c r="E615" s="73" t="n"/>
      <c r="F615" s="69" t="n"/>
      <c r="G615" s="69" t="n"/>
    </row>
    <row r="616">
      <c r="A616" s="69" t="n"/>
      <c r="B616" s="72" t="n"/>
      <c r="C616" s="73" t="n"/>
      <c r="D616" s="69" t="n"/>
      <c r="E616" s="73" t="n"/>
      <c r="F616" s="69" t="n"/>
      <c r="G616" s="69" t="n"/>
    </row>
    <row r="617">
      <c r="A617" s="69" t="n"/>
      <c r="B617" s="72" t="n"/>
      <c r="C617" s="73" t="n"/>
      <c r="D617" s="69" t="n"/>
      <c r="E617" s="73" t="n"/>
      <c r="F617" s="69" t="n"/>
      <c r="G617" s="69" t="n"/>
    </row>
    <row r="618">
      <c r="A618" s="69" t="n"/>
      <c r="B618" s="72" t="n"/>
      <c r="C618" s="73" t="n"/>
      <c r="D618" s="69" t="n"/>
      <c r="E618" s="73" t="n"/>
      <c r="F618" s="69" t="n"/>
      <c r="G618" s="69" t="n"/>
    </row>
    <row r="619">
      <c r="A619" s="69" t="n"/>
      <c r="B619" s="72" t="n"/>
      <c r="C619" s="73" t="n"/>
      <c r="D619" s="69" t="n"/>
      <c r="E619" s="73" t="n"/>
      <c r="F619" s="69" t="n"/>
      <c r="G619" s="69" t="n"/>
    </row>
    <row r="620">
      <c r="A620" s="69" t="n"/>
      <c r="B620" s="72" t="n"/>
      <c r="C620" s="73" t="n"/>
      <c r="D620" s="69" t="n"/>
      <c r="E620" s="73" t="n"/>
      <c r="F620" s="69" t="n"/>
      <c r="G620" s="69" t="n"/>
    </row>
    <row r="621">
      <c r="A621" s="69" t="n"/>
      <c r="B621" s="72" t="n"/>
      <c r="C621" s="73" t="n"/>
      <c r="D621" s="69" t="n"/>
      <c r="E621" s="73" t="n"/>
      <c r="F621" s="69" t="n"/>
      <c r="G621" s="69" t="n"/>
    </row>
    <row r="622">
      <c r="A622" s="69" t="n"/>
      <c r="B622" s="72" t="n"/>
      <c r="C622" s="73" t="n"/>
      <c r="D622" s="69" t="n"/>
      <c r="E622" s="73" t="n"/>
      <c r="F622" s="69" t="n"/>
      <c r="G622" s="69" t="n"/>
    </row>
    <row r="623">
      <c r="A623" s="69" t="n"/>
      <c r="B623" s="72" t="n"/>
      <c r="C623" s="73" t="n"/>
      <c r="D623" s="69" t="n"/>
      <c r="E623" s="73" t="n"/>
      <c r="F623" s="69" t="n"/>
      <c r="G623" s="69" t="n"/>
    </row>
    <row r="624">
      <c r="A624" s="69" t="n"/>
      <c r="B624" s="72" t="n"/>
      <c r="C624" s="73" t="n"/>
      <c r="D624" s="69" t="n"/>
      <c r="E624" s="73" t="n"/>
      <c r="F624" s="69" t="n"/>
      <c r="G624" s="69" t="n"/>
    </row>
    <row r="625">
      <c r="A625" s="69" t="n"/>
      <c r="B625" s="72" t="n"/>
      <c r="C625" s="73" t="n"/>
      <c r="D625" s="69" t="n"/>
      <c r="E625" s="73" t="n"/>
      <c r="F625" s="69" t="n"/>
      <c r="G625" s="69" t="n"/>
    </row>
    <row r="626">
      <c r="A626" s="69" t="n"/>
      <c r="B626" s="72" t="n"/>
      <c r="C626" s="73" t="n"/>
      <c r="D626" s="69" t="n"/>
      <c r="E626" s="73" t="n"/>
      <c r="F626" s="69" t="n"/>
      <c r="G626" s="69" t="n"/>
    </row>
    <row r="627">
      <c r="A627" s="69" t="n"/>
      <c r="B627" s="72" t="n"/>
      <c r="C627" s="73" t="n"/>
      <c r="D627" s="69" t="n"/>
      <c r="E627" s="73" t="n"/>
      <c r="F627" s="69" t="n"/>
      <c r="G627" s="69" t="n"/>
    </row>
    <row r="628">
      <c r="A628" s="69" t="n"/>
      <c r="B628" s="72" t="n"/>
      <c r="C628" s="73" t="n"/>
      <c r="D628" s="69" t="n"/>
      <c r="E628" s="73" t="n"/>
      <c r="F628" s="69" t="n"/>
      <c r="G628" s="69" t="n"/>
    </row>
    <row r="629">
      <c r="A629" s="69" t="n"/>
      <c r="B629" s="72" t="n"/>
      <c r="C629" s="73" t="n"/>
      <c r="D629" s="69" t="n"/>
      <c r="E629" s="73" t="n"/>
      <c r="F629" s="69" t="n"/>
      <c r="G629" s="69" t="n"/>
    </row>
    <row r="630">
      <c r="A630" s="69" t="n"/>
      <c r="B630" s="72" t="n"/>
      <c r="C630" s="73" t="n"/>
      <c r="D630" s="69" t="n"/>
      <c r="E630" s="73" t="n"/>
      <c r="F630" s="69" t="n"/>
      <c r="G630" s="69" t="n"/>
    </row>
    <row r="631">
      <c r="A631" s="69" t="n"/>
      <c r="B631" s="72" t="n"/>
      <c r="C631" s="73" t="n"/>
      <c r="D631" s="69" t="n"/>
      <c r="E631" s="73" t="n"/>
      <c r="F631" s="69" t="n"/>
      <c r="G631" s="69" t="n"/>
    </row>
    <row r="632">
      <c r="A632" s="69" t="n"/>
      <c r="B632" s="72" t="n"/>
      <c r="C632" s="73" t="n"/>
      <c r="D632" s="69" t="n"/>
      <c r="E632" s="73" t="n"/>
      <c r="F632" s="69" t="n"/>
      <c r="G632" s="69" t="n"/>
    </row>
    <row r="633">
      <c r="A633" s="69" t="n"/>
      <c r="B633" s="72" t="n"/>
      <c r="C633" s="73" t="n"/>
      <c r="D633" s="69" t="n"/>
      <c r="E633" s="73" t="n"/>
      <c r="F633" s="69" t="n"/>
      <c r="G633" s="69" t="n"/>
    </row>
    <row r="634">
      <c r="A634" s="69" t="n"/>
      <c r="B634" s="72" t="n"/>
      <c r="C634" s="73" t="n"/>
      <c r="D634" s="69" t="n"/>
      <c r="E634" s="73" t="n"/>
      <c r="F634" s="69" t="n"/>
      <c r="G634" s="69" t="n"/>
    </row>
    <row r="635">
      <c r="A635" s="69" t="n"/>
      <c r="B635" s="72" t="n"/>
      <c r="C635" s="73" t="n"/>
      <c r="D635" s="69" t="n"/>
      <c r="E635" s="73" t="n"/>
      <c r="F635" s="69" t="n"/>
      <c r="G635" s="69" t="n"/>
    </row>
    <row r="636">
      <c r="A636" s="69" t="n"/>
      <c r="B636" s="72" t="n"/>
      <c r="C636" s="73" t="n"/>
      <c r="D636" s="69" t="n"/>
      <c r="E636" s="73" t="n"/>
      <c r="F636" s="69" t="n"/>
      <c r="G636" s="69" t="n"/>
    </row>
    <row r="637">
      <c r="A637" s="69" t="n"/>
      <c r="B637" s="72" t="n"/>
      <c r="C637" s="73" t="n"/>
      <c r="D637" s="69" t="n"/>
      <c r="E637" s="73" t="n"/>
      <c r="F637" s="69" t="n"/>
      <c r="G637" s="69" t="n"/>
    </row>
    <row r="638">
      <c r="A638" s="69" t="n"/>
      <c r="B638" s="72" t="n"/>
      <c r="C638" s="73" t="n"/>
      <c r="D638" s="69" t="n"/>
      <c r="E638" s="73" t="n"/>
      <c r="F638" s="69" t="n"/>
      <c r="G638" s="69" t="n"/>
    </row>
    <row r="639">
      <c r="A639" s="69" t="n"/>
      <c r="B639" s="72" t="n"/>
      <c r="C639" s="73" t="n"/>
      <c r="D639" s="69" t="n"/>
      <c r="E639" s="73" t="n"/>
      <c r="F639" s="69" t="n"/>
      <c r="G639" s="69" t="n"/>
    </row>
    <row r="640">
      <c r="A640" s="69" t="n"/>
      <c r="B640" s="72" t="n"/>
      <c r="C640" s="73" t="n"/>
      <c r="D640" s="69" t="n"/>
      <c r="E640" s="73" t="n"/>
      <c r="F640" s="69" t="n"/>
      <c r="G640" s="69" t="n"/>
    </row>
    <row r="641">
      <c r="A641" s="69" t="n"/>
      <c r="B641" s="72" t="n"/>
      <c r="C641" s="73" t="n"/>
      <c r="D641" s="69" t="n"/>
      <c r="E641" s="73" t="n"/>
      <c r="F641" s="69" t="n"/>
      <c r="G641" s="69" t="n"/>
    </row>
    <row r="642">
      <c r="A642" s="69" t="n"/>
      <c r="B642" s="72" t="n"/>
      <c r="C642" s="73" t="n"/>
      <c r="D642" s="69" t="n"/>
      <c r="E642" s="73" t="n"/>
      <c r="F642" s="69" t="n"/>
      <c r="G642" s="69" t="n"/>
    </row>
    <row r="643">
      <c r="A643" s="69" t="n"/>
      <c r="B643" s="72" t="n"/>
      <c r="C643" s="73" t="n"/>
      <c r="D643" s="69" t="n"/>
      <c r="E643" s="73" t="n"/>
      <c r="F643" s="69" t="n"/>
      <c r="G643" s="69" t="n"/>
    </row>
    <row r="644">
      <c r="A644" s="69" t="n"/>
      <c r="B644" s="72" t="n"/>
      <c r="C644" s="73" t="n"/>
      <c r="D644" s="69" t="n"/>
      <c r="E644" s="73" t="n"/>
      <c r="F644" s="69" t="n"/>
      <c r="G644" s="69" t="n"/>
    </row>
    <row r="645">
      <c r="A645" s="69" t="n"/>
      <c r="B645" s="72" t="n"/>
      <c r="C645" s="73" t="n"/>
      <c r="D645" s="69" t="n"/>
      <c r="E645" s="73" t="n"/>
      <c r="F645" s="69" t="n"/>
      <c r="G645" s="69" t="n"/>
    </row>
    <row r="646">
      <c r="A646" s="69" t="n"/>
      <c r="B646" s="72" t="n"/>
      <c r="C646" s="73" t="n"/>
      <c r="D646" s="69" t="n"/>
      <c r="E646" s="73" t="n"/>
      <c r="F646" s="69" t="n"/>
      <c r="G646" s="69" t="n"/>
    </row>
    <row r="647">
      <c r="A647" s="69" t="n"/>
      <c r="B647" s="72" t="n"/>
      <c r="C647" s="73" t="n"/>
      <c r="D647" s="69" t="n"/>
      <c r="E647" s="73" t="n"/>
      <c r="F647" s="69" t="n"/>
      <c r="G647" s="69" t="n"/>
    </row>
    <row r="648">
      <c r="A648" s="69" t="n"/>
      <c r="B648" s="72" t="n"/>
      <c r="C648" s="73" t="n"/>
      <c r="D648" s="69" t="n"/>
      <c r="E648" s="73" t="n"/>
      <c r="F648" s="69" t="n"/>
      <c r="G648" s="69" t="n"/>
    </row>
    <row r="649">
      <c r="A649" s="69" t="n"/>
      <c r="B649" s="72" t="n"/>
      <c r="C649" s="73" t="n"/>
      <c r="D649" s="69" t="n"/>
      <c r="E649" s="73" t="n"/>
      <c r="F649" s="69" t="n"/>
      <c r="G649" s="69" t="n"/>
    </row>
    <row r="650">
      <c r="A650" s="69" t="n"/>
      <c r="B650" s="72" t="n"/>
      <c r="C650" s="73" t="n"/>
      <c r="D650" s="69" t="n"/>
      <c r="E650" s="73" t="n"/>
      <c r="F650" s="69" t="n"/>
      <c r="G650" s="69" t="n"/>
    </row>
    <row r="651">
      <c r="A651" s="69" t="n"/>
      <c r="B651" s="72" t="n"/>
      <c r="C651" s="73" t="n"/>
      <c r="D651" s="69" t="n"/>
      <c r="E651" s="73" t="n"/>
      <c r="F651" s="69" t="n"/>
      <c r="G651" s="69" t="n"/>
    </row>
    <row r="652">
      <c r="A652" s="69" t="n"/>
      <c r="B652" s="72" t="n"/>
      <c r="C652" s="73" t="n"/>
      <c r="D652" s="69" t="n"/>
      <c r="E652" s="73" t="n"/>
      <c r="F652" s="69" t="n"/>
      <c r="G652" s="69" t="n"/>
    </row>
    <row r="653">
      <c r="A653" s="69" t="n"/>
      <c r="B653" s="72" t="n"/>
      <c r="C653" s="73" t="n"/>
      <c r="D653" s="69" t="n"/>
      <c r="E653" s="73" t="n"/>
      <c r="F653" s="69" t="n"/>
      <c r="G653" s="69" t="n"/>
    </row>
    <row r="654">
      <c r="A654" s="69" t="n"/>
      <c r="B654" s="72" t="n"/>
      <c r="C654" s="73" t="n"/>
      <c r="D654" s="69" t="n"/>
      <c r="E654" s="73" t="n"/>
      <c r="F654" s="69" t="n"/>
      <c r="G654" s="69" t="n"/>
    </row>
    <row r="655">
      <c r="A655" s="69" t="n"/>
      <c r="B655" s="72" t="n"/>
      <c r="C655" s="73" t="n"/>
      <c r="D655" s="69" t="n"/>
      <c r="E655" s="73" t="n"/>
      <c r="F655" s="69" t="n"/>
      <c r="G655" s="69" t="n"/>
    </row>
    <row r="656">
      <c r="A656" s="69" t="n"/>
      <c r="B656" s="72" t="n"/>
      <c r="C656" s="73" t="n"/>
      <c r="D656" s="69" t="n"/>
      <c r="E656" s="73" t="n"/>
      <c r="F656" s="69" t="n"/>
      <c r="G656" s="69" t="n"/>
    </row>
    <row r="657">
      <c r="A657" s="69" t="n"/>
      <c r="B657" s="72" t="n"/>
      <c r="C657" s="73" t="n"/>
      <c r="D657" s="69" t="n"/>
      <c r="E657" s="73" t="n"/>
      <c r="F657" s="69" t="n"/>
      <c r="G657" s="69" t="n"/>
    </row>
    <row r="658">
      <c r="A658" s="69" t="n"/>
      <c r="B658" s="72" t="n"/>
      <c r="C658" s="73" t="n"/>
      <c r="D658" s="69" t="n"/>
      <c r="E658" s="73" t="n"/>
      <c r="F658" s="69" t="n"/>
      <c r="G658" s="69" t="n"/>
    </row>
    <row r="659">
      <c r="A659" s="69" t="n"/>
      <c r="B659" s="72" t="n"/>
      <c r="C659" s="73" t="n"/>
      <c r="D659" s="69" t="n"/>
      <c r="E659" s="73" t="n"/>
      <c r="F659" s="69" t="n"/>
      <c r="G659" s="69" t="n"/>
    </row>
    <row r="660">
      <c r="A660" s="69" t="n"/>
      <c r="B660" s="72" t="n"/>
      <c r="C660" s="73" t="n"/>
      <c r="D660" s="69" t="n"/>
      <c r="E660" s="73" t="n"/>
      <c r="F660" s="69" t="n"/>
      <c r="G660" s="69" t="n"/>
    </row>
    <row r="661">
      <c r="A661" s="69" t="n"/>
      <c r="B661" s="72" t="n"/>
      <c r="C661" s="73" t="n"/>
      <c r="D661" s="69" t="n"/>
      <c r="E661" s="73" t="n"/>
      <c r="F661" s="69" t="n"/>
      <c r="G661" s="69" t="n"/>
    </row>
    <row r="662">
      <c r="A662" s="69" t="n"/>
      <c r="B662" s="72" t="n"/>
      <c r="C662" s="73" t="n"/>
      <c r="D662" s="69" t="n"/>
      <c r="E662" s="73" t="n"/>
      <c r="F662" s="69" t="n"/>
      <c r="G662" s="69" t="n"/>
    </row>
    <row r="663">
      <c r="A663" s="69" t="n"/>
      <c r="B663" s="72" t="n"/>
      <c r="C663" s="73" t="n"/>
      <c r="D663" s="69" t="n"/>
      <c r="E663" s="73" t="n"/>
      <c r="F663" s="69" t="n"/>
      <c r="G663" s="69" t="n"/>
    </row>
    <row r="664">
      <c r="A664" s="69" t="n"/>
      <c r="B664" s="72" t="n"/>
      <c r="C664" s="73" t="n"/>
      <c r="D664" s="69" t="n"/>
      <c r="E664" s="73" t="n"/>
      <c r="F664" s="69" t="n"/>
      <c r="G664" s="69" t="n"/>
    </row>
    <row r="665">
      <c r="A665" s="69" t="n"/>
      <c r="B665" s="72" t="n"/>
      <c r="C665" s="73" t="n"/>
      <c r="D665" s="69" t="n"/>
      <c r="E665" s="73" t="n"/>
      <c r="F665" s="69" t="n"/>
      <c r="G665" s="69" t="n"/>
    </row>
    <row r="666">
      <c r="A666" s="69" t="n"/>
      <c r="B666" s="72" t="n"/>
      <c r="C666" s="73" t="n"/>
      <c r="D666" s="69" t="n"/>
      <c r="E666" s="73" t="n"/>
      <c r="F666" s="69" t="n"/>
      <c r="G666" s="69" t="n"/>
    </row>
    <row r="667">
      <c r="A667" s="69" t="n"/>
      <c r="B667" s="72" t="n"/>
      <c r="C667" s="73" t="n"/>
      <c r="D667" s="69" t="n"/>
      <c r="E667" s="73" t="n"/>
      <c r="F667" s="69" t="n"/>
      <c r="G667" s="69" t="n"/>
    </row>
    <row r="668">
      <c r="A668" s="69" t="n"/>
      <c r="B668" s="72" t="n"/>
      <c r="C668" s="73" t="n"/>
      <c r="D668" s="69" t="n"/>
      <c r="E668" s="73" t="n"/>
      <c r="F668" s="69" t="n"/>
      <c r="G668" s="69" t="n"/>
    </row>
    <row r="669">
      <c r="A669" s="69" t="n"/>
      <c r="B669" s="72" t="n"/>
      <c r="C669" s="73" t="n"/>
      <c r="D669" s="69" t="n"/>
      <c r="E669" s="73" t="n"/>
      <c r="F669" s="69" t="n"/>
      <c r="G669" s="69" t="n"/>
    </row>
    <row r="670">
      <c r="A670" s="69" t="n"/>
      <c r="B670" s="72" t="n"/>
      <c r="C670" s="73" t="n"/>
      <c r="D670" s="69" t="n"/>
      <c r="E670" s="73" t="n"/>
      <c r="F670" s="69" t="n"/>
      <c r="G670" s="69" t="n"/>
    </row>
    <row r="671">
      <c r="A671" s="69" t="n"/>
      <c r="B671" s="72" t="n"/>
      <c r="C671" s="73" t="n"/>
      <c r="D671" s="69" t="n"/>
      <c r="E671" s="73" t="n"/>
      <c r="F671" s="69" t="n"/>
      <c r="G671" s="69" t="n"/>
    </row>
    <row r="672">
      <c r="A672" s="69" t="n"/>
      <c r="B672" s="72" t="n"/>
      <c r="C672" s="73" t="n"/>
      <c r="D672" s="69" t="n"/>
      <c r="E672" s="73" t="n"/>
      <c r="F672" s="69" t="n"/>
      <c r="G672" s="69" t="n"/>
    </row>
    <row r="673">
      <c r="A673" s="69" t="n"/>
      <c r="B673" s="72" t="n"/>
      <c r="C673" s="73" t="n"/>
      <c r="D673" s="69" t="n"/>
      <c r="E673" s="73" t="n"/>
      <c r="F673" s="69" t="n"/>
      <c r="G673" s="69" t="n"/>
    </row>
    <row r="674">
      <c r="A674" s="69" t="n"/>
      <c r="B674" s="72" t="n"/>
      <c r="C674" s="73" t="n"/>
      <c r="D674" s="69" t="n"/>
      <c r="E674" s="73" t="n"/>
      <c r="F674" s="69" t="n"/>
      <c r="G674" s="69" t="n"/>
    </row>
    <row r="675">
      <c r="A675" s="69" t="n"/>
      <c r="B675" s="72" t="n"/>
      <c r="C675" s="73" t="n"/>
      <c r="D675" s="69" t="n"/>
      <c r="E675" s="73" t="n"/>
      <c r="F675" s="69" t="n"/>
      <c r="G675" s="69" t="n"/>
    </row>
    <row r="676">
      <c r="A676" s="69" t="n"/>
      <c r="B676" s="72" t="n"/>
      <c r="C676" s="73" t="n"/>
      <c r="D676" s="69" t="n"/>
      <c r="E676" s="73" t="n"/>
      <c r="F676" s="69" t="n"/>
      <c r="G676" s="69" t="n"/>
    </row>
    <row r="677">
      <c r="A677" s="69" t="n"/>
      <c r="B677" s="72" t="n"/>
      <c r="C677" s="73" t="n"/>
      <c r="D677" s="69" t="n"/>
      <c r="E677" s="73" t="n"/>
      <c r="F677" s="69" t="n"/>
      <c r="G677" s="69" t="n"/>
    </row>
    <row r="678">
      <c r="A678" s="69" t="n"/>
      <c r="B678" s="72" t="n"/>
      <c r="C678" s="73" t="n"/>
      <c r="D678" s="69" t="n"/>
      <c r="E678" s="73" t="n"/>
      <c r="F678" s="69" t="n"/>
      <c r="G678" s="69" t="n"/>
    </row>
    <row r="679">
      <c r="A679" s="69" t="n"/>
      <c r="B679" s="72" t="n"/>
      <c r="C679" s="73" t="n"/>
      <c r="D679" s="69" t="n"/>
      <c r="E679" s="73" t="n"/>
      <c r="F679" s="69" t="n"/>
      <c r="G679" s="69" t="n"/>
    </row>
    <row r="680">
      <c r="A680" s="69" t="n"/>
      <c r="B680" s="72" t="n"/>
      <c r="C680" s="73" t="n"/>
      <c r="D680" s="69" t="n"/>
      <c r="E680" s="73" t="n"/>
      <c r="F680" s="69" t="n"/>
      <c r="G680" s="69" t="n"/>
    </row>
    <row r="681">
      <c r="A681" s="69" t="n"/>
      <c r="B681" s="72" t="n"/>
      <c r="C681" s="73" t="n"/>
      <c r="D681" s="69" t="n"/>
      <c r="E681" s="73" t="n"/>
      <c r="F681" s="69" t="n"/>
      <c r="G681" s="69" t="n"/>
    </row>
    <row r="682">
      <c r="A682" s="69" t="n"/>
      <c r="B682" s="72" t="n"/>
      <c r="C682" s="73" t="n"/>
      <c r="D682" s="69" t="n"/>
      <c r="E682" s="73" t="n"/>
      <c r="F682" s="69" t="n"/>
      <c r="G682" s="69" t="n"/>
    </row>
    <row r="683">
      <c r="A683" s="69" t="n"/>
      <c r="B683" s="72" t="n"/>
      <c r="C683" s="73" t="n"/>
      <c r="D683" s="69" t="n"/>
      <c r="E683" s="73" t="n"/>
      <c r="F683" s="69" t="n"/>
      <c r="G683" s="69" t="n"/>
    </row>
    <row r="684">
      <c r="A684" s="69" t="n"/>
      <c r="B684" s="72" t="n"/>
      <c r="C684" s="73" t="n"/>
      <c r="D684" s="69" t="n"/>
      <c r="E684" s="73" t="n"/>
      <c r="F684" s="69" t="n"/>
      <c r="G684" s="69" t="n"/>
    </row>
    <row r="685">
      <c r="A685" s="69" t="n"/>
      <c r="B685" s="72" t="n"/>
      <c r="C685" s="73" t="n"/>
      <c r="D685" s="69" t="n"/>
      <c r="E685" s="73" t="n"/>
      <c r="F685" s="69" t="n"/>
      <c r="G685" s="69" t="n"/>
    </row>
    <row r="686">
      <c r="A686" s="69" t="n"/>
      <c r="B686" s="72" t="n"/>
      <c r="C686" s="73" t="n"/>
      <c r="D686" s="69" t="n"/>
      <c r="E686" s="73" t="n"/>
      <c r="F686" s="69" t="n"/>
      <c r="G686" s="69" t="n"/>
    </row>
    <row r="687">
      <c r="A687" s="69" t="n"/>
      <c r="B687" s="72" t="n"/>
      <c r="C687" s="73" t="n"/>
      <c r="D687" s="69" t="n"/>
      <c r="E687" s="73" t="n"/>
      <c r="F687" s="69" t="n"/>
      <c r="G687" s="69" t="n"/>
    </row>
    <row r="688">
      <c r="A688" s="69" t="n"/>
      <c r="B688" s="72" t="n"/>
      <c r="C688" s="73" t="n"/>
      <c r="D688" s="69" t="n"/>
      <c r="E688" s="73" t="n"/>
      <c r="F688" s="69" t="n"/>
      <c r="G688" s="69" t="n"/>
    </row>
    <row r="689">
      <c r="A689" s="69" t="n"/>
      <c r="B689" s="72" t="n"/>
      <c r="C689" s="73" t="n"/>
      <c r="D689" s="69" t="n"/>
      <c r="E689" s="73" t="n"/>
      <c r="F689" s="69" t="n"/>
      <c r="G689" s="69" t="n"/>
    </row>
    <row r="690">
      <c r="A690" s="69" t="n"/>
      <c r="B690" s="72" t="n"/>
      <c r="C690" s="73" t="n"/>
      <c r="D690" s="69" t="n"/>
      <c r="E690" s="73" t="n"/>
      <c r="F690" s="69" t="n"/>
      <c r="G690" s="69" t="n"/>
    </row>
    <row r="691">
      <c r="A691" s="69" t="n"/>
      <c r="B691" s="72" t="n"/>
      <c r="C691" s="73" t="n"/>
      <c r="D691" s="69" t="n"/>
      <c r="E691" s="73" t="n"/>
      <c r="F691" s="69" t="n"/>
      <c r="G691" s="69" t="n"/>
    </row>
    <row r="692">
      <c r="A692" s="69" t="n"/>
      <c r="B692" s="72" t="n"/>
      <c r="C692" s="73" t="n"/>
      <c r="D692" s="69" t="n"/>
      <c r="E692" s="73" t="n"/>
      <c r="F692" s="69" t="n"/>
      <c r="G692" s="69" t="n"/>
    </row>
    <row r="693">
      <c r="A693" s="69" t="n"/>
      <c r="B693" s="72" t="n"/>
      <c r="C693" s="73" t="n"/>
      <c r="D693" s="69" t="n"/>
      <c r="E693" s="73" t="n"/>
      <c r="F693" s="69" t="n"/>
      <c r="G693" s="69" t="n"/>
    </row>
    <row r="694">
      <c r="A694" s="69" t="n"/>
      <c r="B694" s="72" t="n"/>
      <c r="C694" s="73" t="n"/>
      <c r="D694" s="69" t="n"/>
      <c r="E694" s="73" t="n"/>
      <c r="F694" s="69" t="n"/>
      <c r="G694" s="69" t="n"/>
    </row>
    <row r="695">
      <c r="A695" s="69" t="n"/>
      <c r="B695" s="72" t="n"/>
      <c r="C695" s="73" t="n"/>
      <c r="D695" s="69" t="n"/>
      <c r="E695" s="73" t="n"/>
      <c r="F695" s="69" t="n"/>
      <c r="G695" s="69" t="n"/>
    </row>
    <row r="696">
      <c r="A696" s="69" t="n"/>
      <c r="B696" s="72" t="n"/>
      <c r="C696" s="73" t="n"/>
      <c r="D696" s="69" t="n"/>
      <c r="E696" s="73" t="n"/>
      <c r="F696" s="69" t="n"/>
      <c r="G696" s="69" t="n"/>
    </row>
    <row r="697">
      <c r="A697" s="69" t="n"/>
      <c r="B697" s="72" t="n"/>
      <c r="C697" s="73" t="n"/>
      <c r="D697" s="69" t="n"/>
      <c r="E697" s="73" t="n"/>
      <c r="F697" s="69" t="n"/>
      <c r="G697" s="69" t="n"/>
    </row>
    <row r="698">
      <c r="A698" s="69" t="n"/>
      <c r="B698" s="72" t="n"/>
      <c r="C698" s="73" t="n"/>
      <c r="D698" s="69" t="n"/>
      <c r="E698" s="73" t="n"/>
      <c r="F698" s="69" t="n"/>
      <c r="G698" s="69" t="n"/>
    </row>
    <row r="699">
      <c r="A699" s="69" t="n"/>
      <c r="B699" s="72" t="n"/>
      <c r="C699" s="73" t="n"/>
      <c r="D699" s="69" t="n"/>
      <c r="E699" s="73" t="n"/>
      <c r="F699" s="69" t="n"/>
      <c r="G699" s="69" t="n"/>
    </row>
    <row r="700">
      <c r="A700" s="69" t="n"/>
      <c r="B700" s="72" t="n"/>
      <c r="C700" s="73" t="n"/>
      <c r="D700" s="69" t="n"/>
      <c r="E700" s="73" t="n"/>
      <c r="F700" s="69" t="n"/>
      <c r="G700" s="69" t="n"/>
    </row>
    <row r="701">
      <c r="A701" s="69" t="n"/>
      <c r="B701" s="72" t="n"/>
      <c r="C701" s="73" t="n"/>
      <c r="D701" s="69" t="n"/>
      <c r="E701" s="73" t="n"/>
      <c r="F701" s="69" t="n"/>
      <c r="G701" s="69" t="n"/>
    </row>
    <row r="702">
      <c r="A702" s="69" t="n"/>
      <c r="B702" s="72" t="n"/>
      <c r="C702" s="73" t="n"/>
      <c r="D702" s="69" t="n"/>
      <c r="E702" s="73" t="n"/>
      <c r="F702" s="69" t="n"/>
      <c r="G702" s="69" t="n"/>
    </row>
    <row r="703">
      <c r="A703" s="69" t="n"/>
      <c r="B703" s="72" t="n"/>
      <c r="C703" s="73" t="n"/>
      <c r="D703" s="69" t="n"/>
      <c r="E703" s="73" t="n"/>
      <c r="F703" s="69" t="n"/>
      <c r="G703" s="69" t="n"/>
    </row>
    <row r="704">
      <c r="A704" s="69" t="n"/>
      <c r="B704" s="72" t="n"/>
      <c r="C704" s="73" t="n"/>
      <c r="D704" s="69" t="n"/>
      <c r="E704" s="73" t="n"/>
      <c r="F704" s="69" t="n"/>
      <c r="G704" s="69" t="n"/>
    </row>
    <row r="705">
      <c r="A705" s="69" t="n"/>
      <c r="B705" s="72" t="n"/>
      <c r="C705" s="73" t="n"/>
      <c r="D705" s="69" t="n"/>
      <c r="E705" s="73" t="n"/>
      <c r="F705" s="69" t="n"/>
      <c r="G705" s="69" t="n"/>
    </row>
    <row r="706">
      <c r="A706" s="69" t="n"/>
      <c r="B706" s="72" t="n"/>
      <c r="C706" s="73" t="n"/>
      <c r="D706" s="69" t="n"/>
      <c r="E706" s="73" t="n"/>
      <c r="F706" s="69" t="n"/>
      <c r="G706" s="69" t="n"/>
    </row>
    <row r="707">
      <c r="A707" s="69" t="n"/>
      <c r="B707" s="72" t="n"/>
      <c r="C707" s="73" t="n"/>
      <c r="D707" s="69" t="n"/>
      <c r="E707" s="73" t="n"/>
      <c r="F707" s="69" t="n"/>
      <c r="G707" s="69" t="n"/>
    </row>
    <row r="708">
      <c r="A708" s="69" t="n"/>
      <c r="B708" s="72" t="n"/>
      <c r="C708" s="73" t="n"/>
      <c r="D708" s="69" t="n"/>
      <c r="E708" s="73" t="n"/>
      <c r="F708" s="69" t="n"/>
      <c r="G708" s="69" t="n"/>
    </row>
    <row r="709">
      <c r="A709" s="69" t="n"/>
      <c r="B709" s="72" t="n"/>
      <c r="C709" s="73" t="n"/>
      <c r="D709" s="69" t="n"/>
      <c r="E709" s="73" t="n"/>
      <c r="F709" s="69" t="n"/>
      <c r="G709" s="69" t="n"/>
    </row>
    <row r="710">
      <c r="A710" s="69" t="n"/>
      <c r="B710" s="72" t="n"/>
      <c r="C710" s="73" t="n"/>
      <c r="D710" s="69" t="n"/>
      <c r="E710" s="73" t="n"/>
      <c r="F710" s="69" t="n"/>
      <c r="G710" s="69" t="n"/>
    </row>
    <row r="711">
      <c r="A711" s="69" t="n"/>
      <c r="B711" s="72" t="n"/>
      <c r="C711" s="73" t="n"/>
      <c r="D711" s="69" t="n"/>
      <c r="E711" s="73" t="n"/>
      <c r="F711" s="69" t="n"/>
      <c r="G711" s="69" t="n"/>
    </row>
    <row r="712">
      <c r="A712" s="69" t="n"/>
      <c r="B712" s="72" t="n"/>
      <c r="C712" s="73" t="n"/>
      <c r="D712" s="69" t="n"/>
      <c r="E712" s="73" t="n"/>
      <c r="F712" s="69" t="n"/>
      <c r="G712" s="69" t="n"/>
    </row>
    <row r="713">
      <c r="A713" s="69" t="n"/>
      <c r="B713" s="72" t="n"/>
      <c r="C713" s="73" t="n"/>
      <c r="D713" s="69" t="n"/>
      <c r="E713" s="73" t="n"/>
      <c r="F713" s="69" t="n"/>
      <c r="G713" s="69" t="n"/>
    </row>
    <row r="714">
      <c r="A714" s="69" t="n"/>
      <c r="B714" s="72" t="n"/>
      <c r="C714" s="73" t="n"/>
      <c r="D714" s="69" t="n"/>
      <c r="E714" s="73" t="n"/>
      <c r="F714" s="69" t="n"/>
      <c r="G714" s="69" t="n"/>
    </row>
    <row r="715">
      <c r="A715" s="69" t="n"/>
      <c r="B715" s="72" t="n"/>
      <c r="C715" s="73" t="n"/>
      <c r="D715" s="69" t="n"/>
      <c r="E715" s="73" t="n"/>
      <c r="F715" s="69" t="n"/>
      <c r="G715" s="69" t="n"/>
    </row>
    <row r="716">
      <c r="A716" s="69" t="n"/>
      <c r="B716" s="72" t="n"/>
      <c r="C716" s="73" t="n"/>
      <c r="D716" s="69" t="n"/>
      <c r="E716" s="73" t="n"/>
      <c r="F716" s="69" t="n"/>
      <c r="G716" s="69" t="n"/>
    </row>
    <row r="717">
      <c r="A717" s="69" t="n"/>
      <c r="B717" s="72" t="n"/>
      <c r="C717" s="73" t="n"/>
      <c r="D717" s="69" t="n"/>
      <c r="E717" s="73" t="n"/>
      <c r="F717" s="69" t="n"/>
      <c r="G717" s="69" t="n"/>
    </row>
    <row r="718">
      <c r="A718" s="69" t="n"/>
      <c r="B718" s="72" t="n"/>
      <c r="C718" s="73" t="n"/>
      <c r="D718" s="69" t="n"/>
      <c r="E718" s="73" t="n"/>
      <c r="F718" s="69" t="n"/>
      <c r="G718" s="69" t="n"/>
    </row>
    <row r="719">
      <c r="A719" s="69" t="n"/>
      <c r="B719" s="72" t="n"/>
      <c r="C719" s="73" t="n"/>
      <c r="D719" s="69" t="n"/>
      <c r="E719" s="73" t="n"/>
      <c r="F719" s="69" t="n"/>
      <c r="G719" s="69" t="n"/>
    </row>
    <row r="720">
      <c r="A720" s="69" t="n"/>
      <c r="B720" s="72" t="n"/>
      <c r="C720" s="73" t="n"/>
      <c r="D720" s="69" t="n"/>
      <c r="E720" s="73" t="n"/>
      <c r="F720" s="69" t="n"/>
      <c r="G720" s="69" t="n"/>
    </row>
    <row r="721">
      <c r="A721" s="69" t="n"/>
      <c r="B721" s="72" t="n"/>
      <c r="C721" s="73" t="n"/>
      <c r="D721" s="69" t="n"/>
      <c r="E721" s="73" t="n"/>
      <c r="F721" s="69" t="n"/>
      <c r="G721" s="69" t="n"/>
    </row>
    <row r="722">
      <c r="A722" s="69" t="n"/>
      <c r="B722" s="72" t="n"/>
      <c r="C722" s="73" t="n"/>
      <c r="D722" s="69" t="n"/>
      <c r="E722" s="73" t="n"/>
      <c r="F722" s="69" t="n"/>
      <c r="G722" s="69" t="n"/>
    </row>
    <row r="723">
      <c r="A723" s="69" t="n"/>
      <c r="B723" s="72" t="n"/>
      <c r="C723" s="73" t="n"/>
      <c r="D723" s="69" t="n"/>
      <c r="E723" s="73" t="n"/>
      <c r="F723" s="69" t="n"/>
      <c r="G723" s="69" t="n"/>
    </row>
    <row r="724">
      <c r="A724" s="69" t="n"/>
      <c r="B724" s="72" t="n"/>
      <c r="C724" s="73" t="n"/>
      <c r="D724" s="69" t="n"/>
      <c r="E724" s="73" t="n"/>
      <c r="F724" s="69" t="n"/>
      <c r="G724" s="69" t="n"/>
    </row>
    <row r="725">
      <c r="A725" s="69" t="n"/>
      <c r="B725" s="72" t="n"/>
      <c r="C725" s="73" t="n"/>
      <c r="D725" s="69" t="n"/>
      <c r="E725" s="73" t="n"/>
      <c r="F725" s="69" t="n"/>
      <c r="G725" s="69" t="n"/>
    </row>
    <row r="726">
      <c r="A726" s="69" t="n"/>
      <c r="B726" s="72" t="n"/>
      <c r="C726" s="73" t="n"/>
      <c r="D726" s="69" t="n"/>
      <c r="E726" s="73" t="n"/>
      <c r="F726" s="69" t="n"/>
      <c r="G726" s="69" t="n"/>
    </row>
    <row r="727">
      <c r="A727" s="69" t="n"/>
      <c r="B727" s="72" t="n"/>
      <c r="C727" s="73" t="n"/>
      <c r="D727" s="69" t="n"/>
      <c r="E727" s="73" t="n"/>
      <c r="F727" s="69" t="n"/>
      <c r="G727" s="69" t="n"/>
    </row>
    <row r="728">
      <c r="A728" s="69" t="n"/>
      <c r="B728" s="72" t="n"/>
      <c r="C728" s="73" t="n"/>
      <c r="D728" s="69" t="n"/>
      <c r="E728" s="73" t="n"/>
      <c r="F728" s="69" t="n"/>
      <c r="G728" s="69" t="n"/>
    </row>
    <row r="729">
      <c r="A729" s="69" t="n"/>
      <c r="B729" s="72" t="n"/>
      <c r="C729" s="73" t="n"/>
      <c r="D729" s="69" t="n"/>
      <c r="E729" s="73" t="n"/>
      <c r="F729" s="69" t="n"/>
      <c r="G729" s="69" t="n"/>
    </row>
    <row r="730">
      <c r="A730" s="69" t="n"/>
      <c r="B730" s="72" t="n"/>
      <c r="C730" s="73" t="n"/>
      <c r="D730" s="69" t="n"/>
      <c r="E730" s="73" t="n"/>
      <c r="F730" s="69" t="n"/>
      <c r="G730" s="69" t="n"/>
    </row>
    <row r="731">
      <c r="A731" s="69" t="n"/>
      <c r="B731" s="72" t="n"/>
      <c r="C731" s="73" t="n"/>
      <c r="D731" s="69" t="n"/>
      <c r="E731" s="73" t="n"/>
      <c r="F731" s="69" t="n"/>
      <c r="G731" s="69" t="n"/>
    </row>
    <row r="732">
      <c r="A732" s="69" t="n"/>
      <c r="B732" s="72" t="n"/>
      <c r="C732" s="73" t="n"/>
      <c r="D732" s="69" t="n"/>
      <c r="E732" s="73" t="n"/>
      <c r="F732" s="69" t="n"/>
      <c r="G732" s="69" t="n"/>
    </row>
    <row r="733">
      <c r="A733" s="69" t="n"/>
      <c r="B733" s="72" t="n"/>
      <c r="C733" s="73" t="n"/>
      <c r="D733" s="69" t="n"/>
      <c r="E733" s="73" t="n"/>
      <c r="F733" s="69" t="n"/>
      <c r="G733" s="69" t="n"/>
    </row>
    <row r="734">
      <c r="A734" s="69" t="n"/>
      <c r="B734" s="72" t="n"/>
      <c r="C734" s="73" t="n"/>
      <c r="D734" s="69" t="n"/>
      <c r="E734" s="73" t="n"/>
      <c r="F734" s="69" t="n"/>
      <c r="G734" s="69" t="n"/>
    </row>
    <row r="735">
      <c r="A735" s="69" t="n"/>
      <c r="B735" s="72" t="n"/>
      <c r="C735" s="73" t="n"/>
      <c r="D735" s="69" t="n"/>
      <c r="E735" s="73" t="n"/>
      <c r="F735" s="69" t="n"/>
      <c r="G735" s="69" t="n"/>
    </row>
    <row r="736">
      <c r="A736" s="69" t="n"/>
      <c r="B736" s="72" t="n"/>
      <c r="C736" s="73" t="n"/>
      <c r="D736" s="69" t="n"/>
      <c r="E736" s="73" t="n"/>
      <c r="F736" s="69" t="n"/>
      <c r="G736" s="69" t="n"/>
    </row>
    <row r="737">
      <c r="A737" s="69" t="n"/>
      <c r="B737" s="72" t="n"/>
      <c r="C737" s="73" t="n"/>
      <c r="D737" s="69" t="n"/>
      <c r="E737" s="73" t="n"/>
      <c r="F737" s="69" t="n"/>
      <c r="G737" s="69" t="n"/>
    </row>
    <row r="738">
      <c r="A738" s="69" t="n"/>
      <c r="B738" s="72" t="n"/>
      <c r="C738" s="73" t="n"/>
      <c r="D738" s="69" t="n"/>
      <c r="E738" s="73" t="n"/>
      <c r="F738" s="69" t="n"/>
      <c r="G738" s="69" t="n"/>
    </row>
    <row r="739">
      <c r="A739" s="69" t="n"/>
      <c r="B739" s="72" t="n"/>
      <c r="C739" s="73" t="n"/>
      <c r="D739" s="69" t="n"/>
      <c r="E739" s="73" t="n"/>
      <c r="F739" s="69" t="n"/>
      <c r="G739" s="69" t="n"/>
    </row>
    <row r="740">
      <c r="A740" s="69" t="n"/>
      <c r="B740" s="72" t="n"/>
      <c r="C740" s="73" t="n"/>
      <c r="D740" s="69" t="n"/>
      <c r="E740" s="73" t="n"/>
      <c r="F740" s="69" t="n"/>
      <c r="G740" s="69" t="n"/>
    </row>
    <row r="741">
      <c r="A741" s="69" t="n"/>
      <c r="B741" s="72" t="n"/>
      <c r="C741" s="73" t="n"/>
      <c r="D741" s="69" t="n"/>
      <c r="E741" s="73" t="n"/>
      <c r="F741" s="69" t="n"/>
      <c r="G741" s="69" t="n"/>
    </row>
    <row r="742">
      <c r="A742" s="69" t="n"/>
      <c r="B742" s="72" t="n"/>
      <c r="C742" s="73" t="n"/>
      <c r="D742" s="69" t="n"/>
      <c r="E742" s="73" t="n"/>
      <c r="F742" s="69" t="n"/>
      <c r="G742" s="69" t="n"/>
    </row>
    <row r="743">
      <c r="A743" s="69" t="n"/>
      <c r="B743" s="72" t="n"/>
      <c r="C743" s="73" t="n"/>
      <c r="D743" s="69" t="n"/>
      <c r="E743" s="73" t="n"/>
      <c r="F743" s="69" t="n"/>
      <c r="G743" s="69" t="n"/>
    </row>
    <row r="744">
      <c r="A744" s="69" t="n"/>
      <c r="B744" s="72" t="n"/>
      <c r="C744" s="73" t="n"/>
      <c r="D744" s="69" t="n"/>
      <c r="E744" s="73" t="n"/>
      <c r="F744" s="69" t="n"/>
      <c r="G744" s="69" t="n"/>
    </row>
    <row r="745">
      <c r="A745" s="69" t="n"/>
      <c r="B745" s="72" t="n"/>
      <c r="C745" s="73" t="n"/>
      <c r="D745" s="69" t="n"/>
      <c r="E745" s="73" t="n"/>
      <c r="F745" s="69" t="n"/>
      <c r="G745" s="69" t="n"/>
    </row>
    <row r="746">
      <c r="A746" s="69" t="n"/>
      <c r="B746" s="72" t="n"/>
      <c r="C746" s="73" t="n"/>
      <c r="D746" s="69" t="n"/>
      <c r="E746" s="73" t="n"/>
      <c r="F746" s="69" t="n"/>
      <c r="G746" s="69" t="n"/>
    </row>
    <row r="747">
      <c r="A747" s="69" t="n"/>
      <c r="B747" s="72" t="n"/>
      <c r="C747" s="73" t="n"/>
      <c r="D747" s="69" t="n"/>
      <c r="E747" s="73" t="n"/>
      <c r="F747" s="69" t="n"/>
      <c r="G747" s="69" t="n"/>
    </row>
    <row r="748">
      <c r="A748" s="69" t="n"/>
      <c r="B748" s="72" t="n"/>
      <c r="C748" s="73" t="n"/>
      <c r="D748" s="69" t="n"/>
      <c r="E748" s="73" t="n"/>
      <c r="F748" s="69" t="n"/>
      <c r="G748" s="69" t="n"/>
    </row>
    <row r="749">
      <c r="A749" s="69" t="n"/>
      <c r="B749" s="72" t="n"/>
      <c r="C749" s="73" t="n"/>
      <c r="D749" s="69" t="n"/>
      <c r="E749" s="73" t="n"/>
      <c r="F749" s="69" t="n"/>
      <c r="G749" s="69" t="n"/>
    </row>
    <row r="750">
      <c r="A750" s="69" t="n"/>
      <c r="B750" s="72" t="n"/>
      <c r="C750" s="73" t="n"/>
      <c r="D750" s="69" t="n"/>
      <c r="E750" s="73" t="n"/>
      <c r="F750" s="69" t="n"/>
      <c r="G750" s="69" t="n"/>
    </row>
    <row r="751">
      <c r="A751" s="69" t="n"/>
      <c r="B751" s="72" t="n"/>
      <c r="C751" s="73" t="n"/>
      <c r="D751" s="69" t="n"/>
      <c r="E751" s="73" t="n"/>
      <c r="F751" s="69" t="n"/>
      <c r="G751" s="69" t="n"/>
    </row>
    <row r="752">
      <c r="A752" s="69" t="n"/>
      <c r="B752" s="72" t="n"/>
      <c r="C752" s="73" t="n"/>
      <c r="D752" s="69" t="n"/>
      <c r="E752" s="73" t="n"/>
      <c r="F752" s="69" t="n"/>
      <c r="G752" s="69" t="n"/>
    </row>
    <row r="753">
      <c r="A753" s="69" t="n"/>
      <c r="B753" s="72" t="n"/>
      <c r="C753" s="73" t="n"/>
      <c r="D753" s="69" t="n"/>
      <c r="E753" s="73" t="n"/>
      <c r="F753" s="69" t="n"/>
      <c r="G753" s="69" t="n"/>
    </row>
    <row r="754">
      <c r="A754" s="69" t="n"/>
      <c r="B754" s="72" t="n"/>
      <c r="C754" s="73" t="n"/>
      <c r="D754" s="69" t="n"/>
      <c r="E754" s="73" t="n"/>
      <c r="F754" s="69" t="n"/>
      <c r="G754" s="69" t="n"/>
    </row>
    <row r="755">
      <c r="A755" s="69" t="n"/>
      <c r="B755" s="72" t="n"/>
      <c r="C755" s="73" t="n"/>
      <c r="D755" s="69" t="n"/>
      <c r="E755" s="73" t="n"/>
      <c r="F755" s="69" t="n"/>
      <c r="G755" s="69" t="n"/>
    </row>
    <row r="756">
      <c r="A756" s="69" t="n"/>
      <c r="B756" s="72" t="n"/>
      <c r="C756" s="73" t="n"/>
      <c r="D756" s="69" t="n"/>
      <c r="E756" s="73" t="n"/>
      <c r="F756" s="69" t="n"/>
      <c r="G756" s="69" t="n"/>
    </row>
    <row r="757">
      <c r="A757" s="69" t="n"/>
      <c r="B757" s="72" t="n"/>
      <c r="C757" s="73" t="n"/>
      <c r="D757" s="69" t="n"/>
      <c r="E757" s="73" t="n"/>
      <c r="F757" s="69" t="n"/>
      <c r="G757" s="69" t="n"/>
    </row>
    <row r="758">
      <c r="A758" s="69" t="n"/>
      <c r="B758" s="72" t="n"/>
      <c r="C758" s="73" t="n"/>
      <c r="D758" s="69" t="n"/>
      <c r="E758" s="73" t="n"/>
      <c r="F758" s="69" t="n"/>
      <c r="G758" s="69" t="n"/>
    </row>
    <row r="759">
      <c r="A759" s="69" t="n"/>
      <c r="B759" s="72" t="n"/>
      <c r="C759" s="73" t="n"/>
      <c r="D759" s="69" t="n"/>
      <c r="E759" s="73" t="n"/>
      <c r="F759" s="69" t="n"/>
      <c r="G759" s="69" t="n"/>
    </row>
    <row r="760">
      <c r="A760" s="69" t="n"/>
      <c r="B760" s="72" t="n"/>
      <c r="C760" s="73" t="n"/>
      <c r="D760" s="69" t="n"/>
      <c r="E760" s="73" t="n"/>
      <c r="F760" s="69" t="n"/>
      <c r="G760" s="69" t="n"/>
    </row>
    <row r="761">
      <c r="A761" s="69" t="n"/>
      <c r="B761" s="72" t="n"/>
      <c r="C761" s="73" t="n"/>
      <c r="D761" s="69" t="n"/>
      <c r="E761" s="73" t="n"/>
      <c r="F761" s="69" t="n"/>
      <c r="G761" s="69" t="n"/>
    </row>
    <row r="762">
      <c r="A762" s="69" t="n"/>
      <c r="B762" s="72" t="n"/>
      <c r="C762" s="73" t="n"/>
      <c r="D762" s="69" t="n"/>
      <c r="E762" s="73" t="n"/>
      <c r="F762" s="69" t="n"/>
      <c r="G762" s="69" t="n"/>
    </row>
    <row r="763">
      <c r="A763" s="69" t="n"/>
      <c r="B763" s="72" t="n"/>
      <c r="C763" s="73" t="n"/>
      <c r="D763" s="69" t="n"/>
      <c r="E763" s="73" t="n"/>
      <c r="F763" s="69" t="n"/>
      <c r="G763" s="69" t="n"/>
    </row>
    <row r="764">
      <c r="A764" s="69" t="n"/>
      <c r="B764" s="72" t="n"/>
      <c r="C764" s="73" t="n"/>
      <c r="D764" s="69" t="n"/>
      <c r="E764" s="73" t="n"/>
      <c r="F764" s="69" t="n"/>
      <c r="G764" s="69" t="n"/>
    </row>
    <row r="765">
      <c r="A765" s="69" t="n"/>
      <c r="B765" s="72" t="n"/>
      <c r="C765" s="73" t="n"/>
      <c r="D765" s="69" t="n"/>
      <c r="E765" s="73" t="n"/>
      <c r="F765" s="69" t="n"/>
      <c r="G765" s="69" t="n"/>
    </row>
    <row r="766">
      <c r="A766" s="69" t="n"/>
      <c r="B766" s="72" t="n"/>
      <c r="C766" s="73" t="n"/>
      <c r="D766" s="69" t="n"/>
      <c r="E766" s="73" t="n"/>
      <c r="F766" s="69" t="n"/>
      <c r="G766" s="69" t="n"/>
    </row>
    <row r="767">
      <c r="A767" s="69" t="n"/>
      <c r="B767" s="72" t="n"/>
      <c r="C767" s="73" t="n"/>
      <c r="D767" s="69" t="n"/>
      <c r="E767" s="73" t="n"/>
      <c r="F767" s="69" t="n"/>
      <c r="G767" s="69" t="n"/>
    </row>
    <row r="768">
      <c r="A768" s="69" t="n"/>
      <c r="B768" s="72" t="n"/>
      <c r="C768" s="73" t="n"/>
      <c r="D768" s="69" t="n"/>
      <c r="E768" s="73" t="n"/>
      <c r="F768" s="69" t="n"/>
      <c r="G768" s="69" t="n"/>
    </row>
    <row r="769">
      <c r="A769" s="69" t="n"/>
      <c r="B769" s="72" t="n"/>
      <c r="C769" s="73" t="n"/>
      <c r="D769" s="69" t="n"/>
      <c r="E769" s="73" t="n"/>
      <c r="F769" s="69" t="n"/>
      <c r="G769" s="69" t="n"/>
    </row>
    <row r="770">
      <c r="A770" s="69" t="n"/>
      <c r="B770" s="72" t="n"/>
      <c r="C770" s="73" t="n"/>
      <c r="D770" s="69" t="n"/>
      <c r="E770" s="73" t="n"/>
      <c r="F770" s="69" t="n"/>
      <c r="G770" s="69" t="n"/>
    </row>
    <row r="771">
      <c r="A771" s="69" t="n"/>
      <c r="B771" s="72" t="n"/>
      <c r="C771" s="73" t="n"/>
      <c r="D771" s="69" t="n"/>
      <c r="E771" s="73" t="n"/>
      <c r="F771" s="69" t="n"/>
      <c r="G771" s="69" t="n"/>
    </row>
    <row r="772">
      <c r="A772" s="69" t="n"/>
      <c r="B772" s="72" t="n"/>
      <c r="C772" s="73" t="n"/>
      <c r="D772" s="69" t="n"/>
      <c r="E772" s="73" t="n"/>
      <c r="F772" s="69" t="n"/>
      <c r="G772" s="69" t="n"/>
    </row>
    <row r="773">
      <c r="A773" s="69" t="n"/>
      <c r="B773" s="72" t="n"/>
      <c r="C773" s="73" t="n"/>
      <c r="D773" s="69" t="n"/>
      <c r="E773" s="73" t="n"/>
      <c r="F773" s="69" t="n"/>
      <c r="G773" s="69" t="n"/>
    </row>
    <row r="774">
      <c r="A774" s="69" t="n"/>
      <c r="B774" s="72" t="n"/>
      <c r="C774" s="73" t="n"/>
      <c r="D774" s="69" t="n"/>
      <c r="E774" s="73" t="n"/>
      <c r="F774" s="69" t="n"/>
      <c r="G774" s="69" t="n"/>
    </row>
    <row r="775">
      <c r="A775" s="69" t="n"/>
      <c r="B775" s="72" t="n"/>
      <c r="C775" s="73" t="n"/>
      <c r="D775" s="69" t="n"/>
      <c r="E775" s="73" t="n"/>
      <c r="F775" s="69" t="n"/>
      <c r="G775" s="69" t="n"/>
    </row>
    <row r="776">
      <c r="A776" s="69" t="n"/>
      <c r="B776" s="72" t="n"/>
      <c r="C776" s="73" t="n"/>
      <c r="D776" s="69" t="n"/>
      <c r="E776" s="73" t="n"/>
      <c r="F776" s="69" t="n"/>
      <c r="G776" s="69" t="n"/>
    </row>
    <row r="777">
      <c r="A777" s="69" t="n"/>
      <c r="B777" s="72" t="n"/>
      <c r="C777" s="73" t="n"/>
      <c r="D777" s="69" t="n"/>
      <c r="E777" s="73" t="n"/>
      <c r="F777" s="69" t="n"/>
      <c r="G777" s="69" t="n"/>
    </row>
    <row r="778">
      <c r="A778" s="69" t="n"/>
      <c r="B778" s="72" t="n"/>
      <c r="C778" s="73" t="n"/>
      <c r="D778" s="69" t="n"/>
      <c r="E778" s="73" t="n"/>
      <c r="F778" s="69" t="n"/>
      <c r="G778" s="69" t="n"/>
    </row>
    <row r="779">
      <c r="A779" s="69" t="n"/>
      <c r="B779" s="72" t="n"/>
      <c r="C779" s="73" t="n"/>
      <c r="D779" s="69" t="n"/>
      <c r="E779" s="73" t="n"/>
      <c r="F779" s="69" t="n"/>
      <c r="G779" s="69" t="n"/>
    </row>
    <row r="780">
      <c r="A780" s="69" t="n"/>
      <c r="B780" s="72" t="n"/>
      <c r="C780" s="73" t="n"/>
      <c r="D780" s="69" t="n"/>
      <c r="E780" s="73" t="n"/>
      <c r="F780" s="69" t="n"/>
      <c r="G780" s="69" t="n"/>
    </row>
    <row r="781">
      <c r="A781" s="69" t="n"/>
      <c r="B781" s="72" t="n"/>
      <c r="C781" s="73" t="n"/>
      <c r="D781" s="69" t="n"/>
      <c r="E781" s="73" t="n"/>
      <c r="F781" s="69" t="n"/>
      <c r="G781" s="69" t="n"/>
    </row>
    <row r="782">
      <c r="A782" s="69" t="n"/>
      <c r="B782" s="72" t="n"/>
      <c r="C782" s="73" t="n"/>
      <c r="D782" s="69" t="n"/>
      <c r="E782" s="73" t="n"/>
      <c r="F782" s="69" t="n"/>
      <c r="G782" s="69" t="n"/>
    </row>
    <row r="783">
      <c r="A783" s="69" t="n"/>
      <c r="B783" s="72" t="n"/>
      <c r="C783" s="73" t="n"/>
      <c r="D783" s="69" t="n"/>
      <c r="E783" s="73" t="n"/>
      <c r="F783" s="69" t="n"/>
      <c r="G783" s="69" t="n"/>
    </row>
    <row r="784">
      <c r="A784" s="69" t="n"/>
      <c r="B784" s="72" t="n"/>
      <c r="C784" s="73" t="n"/>
      <c r="D784" s="69" t="n"/>
      <c r="E784" s="73" t="n"/>
      <c r="F784" s="69" t="n"/>
      <c r="G784" s="69" t="n"/>
    </row>
    <row r="785">
      <c r="A785" s="69" t="n"/>
      <c r="B785" s="72" t="n"/>
      <c r="C785" s="73" t="n"/>
      <c r="D785" s="69" t="n"/>
      <c r="E785" s="73" t="n"/>
      <c r="F785" s="69" t="n"/>
      <c r="G785" s="69" t="n"/>
    </row>
    <row r="786">
      <c r="A786" s="69" t="n"/>
      <c r="B786" s="72" t="n"/>
      <c r="C786" s="73" t="n"/>
      <c r="D786" s="69" t="n"/>
      <c r="E786" s="73" t="n"/>
      <c r="F786" s="69" t="n"/>
      <c r="G786" s="69" t="n"/>
    </row>
    <row r="787">
      <c r="A787" s="69" t="n"/>
      <c r="B787" s="72" t="n"/>
      <c r="C787" s="73" t="n"/>
      <c r="D787" s="69" t="n"/>
      <c r="E787" s="73" t="n"/>
      <c r="F787" s="69" t="n"/>
      <c r="G787" s="69" t="n"/>
    </row>
    <row r="788">
      <c r="A788" s="69" t="n"/>
      <c r="B788" s="72" t="n"/>
      <c r="C788" s="73" t="n"/>
      <c r="D788" s="69" t="n"/>
      <c r="E788" s="73" t="n"/>
      <c r="F788" s="69" t="n"/>
      <c r="G788" s="69" t="n"/>
    </row>
    <row r="789">
      <c r="A789" s="69" t="n"/>
      <c r="B789" s="72" t="n"/>
      <c r="C789" s="73" t="n"/>
      <c r="D789" s="69" t="n"/>
      <c r="E789" s="73" t="n"/>
      <c r="F789" s="69" t="n"/>
      <c r="G789" s="69" t="n"/>
    </row>
    <row r="790">
      <c r="A790" s="69" t="n"/>
      <c r="B790" s="72" t="n"/>
      <c r="C790" s="73" t="n"/>
      <c r="D790" s="69" t="n"/>
      <c r="E790" s="73" t="n"/>
      <c r="F790" s="69" t="n"/>
      <c r="G790" s="69" t="n"/>
    </row>
    <row r="791">
      <c r="A791" s="69" t="n"/>
      <c r="B791" s="72" t="n"/>
      <c r="C791" s="73" t="n"/>
      <c r="D791" s="69" t="n"/>
      <c r="E791" s="73" t="n"/>
      <c r="F791" s="69" t="n"/>
      <c r="G791" s="69" t="n"/>
    </row>
    <row r="792">
      <c r="A792" s="69" t="n"/>
      <c r="B792" s="72" t="n"/>
      <c r="C792" s="73" t="n"/>
      <c r="D792" s="69" t="n"/>
      <c r="E792" s="73" t="n"/>
      <c r="F792" s="69" t="n"/>
      <c r="G792" s="69" t="n"/>
    </row>
    <row r="793">
      <c r="A793" s="69" t="n"/>
      <c r="B793" s="72" t="n"/>
      <c r="C793" s="73" t="n"/>
      <c r="D793" s="69" t="n"/>
      <c r="E793" s="73" t="n"/>
      <c r="F793" s="69" t="n"/>
      <c r="G793" s="69" t="n"/>
    </row>
    <row r="794">
      <c r="A794" s="69" t="n"/>
      <c r="B794" s="72" t="n"/>
      <c r="C794" s="73" t="n"/>
      <c r="D794" s="69" t="n"/>
      <c r="E794" s="73" t="n"/>
      <c r="F794" s="69" t="n"/>
      <c r="G794" s="69" t="n"/>
    </row>
    <row r="795">
      <c r="A795" s="69" t="n"/>
      <c r="B795" s="72" t="n"/>
      <c r="C795" s="73" t="n"/>
      <c r="D795" s="69" t="n"/>
      <c r="E795" s="73" t="n"/>
      <c r="F795" s="69" t="n"/>
      <c r="G795" s="69" t="n"/>
    </row>
    <row r="796">
      <c r="A796" s="69" t="n"/>
      <c r="B796" s="72" t="n"/>
      <c r="C796" s="73" t="n"/>
      <c r="D796" s="69" t="n"/>
      <c r="E796" s="73" t="n"/>
      <c r="F796" s="69" t="n"/>
      <c r="G796" s="69" t="n"/>
    </row>
    <row r="797">
      <c r="A797" s="69" t="n"/>
      <c r="B797" s="72" t="n"/>
      <c r="C797" s="73" t="n"/>
      <c r="D797" s="69" t="n"/>
      <c r="E797" s="73" t="n"/>
      <c r="F797" s="69" t="n"/>
      <c r="G797" s="69" t="n"/>
    </row>
    <row r="798">
      <c r="A798" s="69" t="n"/>
      <c r="B798" s="72" t="n"/>
      <c r="C798" s="73" t="n"/>
      <c r="D798" s="69" t="n"/>
      <c r="E798" s="73" t="n"/>
      <c r="F798" s="69" t="n"/>
      <c r="G798" s="69" t="n"/>
    </row>
    <row r="799">
      <c r="A799" s="69" t="n"/>
      <c r="B799" s="72" t="n"/>
      <c r="C799" s="73" t="n"/>
      <c r="D799" s="69" t="n"/>
      <c r="E799" s="73" t="n"/>
      <c r="F799" s="69" t="n"/>
      <c r="G799" s="69" t="n"/>
    </row>
    <row r="800">
      <c r="A800" s="69" t="n"/>
      <c r="B800" s="72" t="n"/>
      <c r="C800" s="73" t="n"/>
      <c r="D800" s="69" t="n"/>
      <c r="E800" s="73" t="n"/>
      <c r="F800" s="69" t="n"/>
      <c r="G800" s="69" t="n"/>
    </row>
    <row r="801">
      <c r="A801" s="69" t="n"/>
      <c r="B801" s="72" t="n"/>
      <c r="C801" s="73" t="n"/>
      <c r="D801" s="69" t="n"/>
      <c r="E801" s="73" t="n"/>
      <c r="F801" s="69" t="n"/>
      <c r="G801" s="69" t="n"/>
    </row>
    <row r="802">
      <c r="A802" s="69" t="n"/>
      <c r="B802" s="72" t="n"/>
      <c r="C802" s="73" t="n"/>
      <c r="D802" s="69" t="n"/>
      <c r="E802" s="73" t="n"/>
      <c r="F802" s="69" t="n"/>
      <c r="G802" s="69" t="n"/>
    </row>
    <row r="803">
      <c r="A803" s="69" t="n"/>
      <c r="B803" s="72" t="n"/>
      <c r="C803" s="73" t="n"/>
      <c r="D803" s="69" t="n"/>
      <c r="E803" s="73" t="n"/>
      <c r="F803" s="69" t="n"/>
      <c r="G803" s="69" t="n"/>
    </row>
    <row r="804">
      <c r="A804" s="69" t="n"/>
      <c r="B804" s="72" t="n"/>
      <c r="C804" s="73" t="n"/>
      <c r="D804" s="69" t="n"/>
      <c r="E804" s="73" t="n"/>
      <c r="F804" s="69" t="n"/>
      <c r="G804" s="69" t="n"/>
    </row>
    <row r="805">
      <c r="A805" s="69" t="n"/>
      <c r="B805" s="72" t="n"/>
      <c r="C805" s="73" t="n"/>
      <c r="D805" s="69" t="n"/>
      <c r="E805" s="73" t="n"/>
      <c r="F805" s="69" t="n"/>
      <c r="G805" s="69" t="n"/>
    </row>
    <row r="806">
      <c r="A806" s="69" t="n"/>
      <c r="B806" s="72" t="n"/>
      <c r="C806" s="73" t="n"/>
      <c r="D806" s="69" t="n"/>
      <c r="E806" s="73" t="n"/>
      <c r="F806" s="69" t="n"/>
      <c r="G806" s="69" t="n"/>
    </row>
    <row r="807">
      <c r="A807" s="69" t="n"/>
      <c r="B807" s="72" t="n"/>
      <c r="C807" s="73" t="n"/>
      <c r="D807" s="69" t="n"/>
      <c r="E807" s="73" t="n"/>
      <c r="F807" s="69" t="n"/>
      <c r="G807" s="69" t="n"/>
    </row>
    <row r="808">
      <c r="A808" s="69" t="n"/>
      <c r="B808" s="72" t="n"/>
      <c r="C808" s="73" t="n"/>
      <c r="D808" s="69" t="n"/>
      <c r="E808" s="73" t="n"/>
      <c r="F808" s="69" t="n"/>
      <c r="G808" s="69" t="n"/>
    </row>
    <row r="809">
      <c r="A809" s="69" t="n"/>
      <c r="B809" s="72" t="n"/>
      <c r="C809" s="73" t="n"/>
      <c r="D809" s="69" t="n"/>
      <c r="E809" s="73" t="n"/>
      <c r="F809" s="69" t="n"/>
      <c r="G809" s="69" t="n"/>
    </row>
    <row r="810">
      <c r="A810" s="69" t="n"/>
      <c r="B810" s="72" t="n"/>
      <c r="C810" s="73" t="n"/>
      <c r="D810" s="69" t="n"/>
      <c r="E810" s="73" t="n"/>
      <c r="F810" s="69" t="n"/>
      <c r="G810" s="69" t="n"/>
    </row>
    <row r="811">
      <c r="A811" s="69" t="n"/>
      <c r="B811" s="72" t="n"/>
      <c r="C811" s="73" t="n"/>
      <c r="D811" s="69" t="n"/>
      <c r="E811" s="73" t="n"/>
      <c r="F811" s="69" t="n"/>
      <c r="G811" s="69" t="n"/>
    </row>
    <row r="812">
      <c r="A812" s="69" t="n"/>
      <c r="B812" s="72" t="n"/>
      <c r="C812" s="73" t="n"/>
      <c r="D812" s="69" t="n"/>
      <c r="E812" s="73" t="n"/>
      <c r="F812" s="69" t="n"/>
      <c r="G812" s="69" t="n"/>
    </row>
    <row r="813">
      <c r="A813" s="69" t="n"/>
      <c r="B813" s="72" t="n"/>
      <c r="C813" s="73" t="n"/>
      <c r="D813" s="69" t="n"/>
      <c r="E813" s="73" t="n"/>
      <c r="F813" s="69" t="n"/>
      <c r="G813" s="69" t="n"/>
    </row>
    <row r="814">
      <c r="A814" s="69" t="n"/>
      <c r="B814" s="72" t="n"/>
      <c r="C814" s="73" t="n"/>
      <c r="D814" s="69" t="n"/>
      <c r="E814" s="73" t="n"/>
      <c r="F814" s="69" t="n"/>
      <c r="G814" s="69" t="n"/>
    </row>
    <row r="815">
      <c r="A815" s="69" t="n"/>
      <c r="B815" s="72" t="n"/>
      <c r="C815" s="73" t="n"/>
      <c r="D815" s="69" t="n"/>
      <c r="E815" s="73" t="n"/>
      <c r="F815" s="69" t="n"/>
      <c r="G815" s="69" t="n"/>
    </row>
    <row r="816">
      <c r="A816" s="69" t="n"/>
      <c r="B816" s="72" t="n"/>
      <c r="C816" s="73" t="n"/>
      <c r="D816" s="69" t="n"/>
      <c r="E816" s="73" t="n"/>
      <c r="F816" s="69" t="n"/>
      <c r="G816" s="69" t="n"/>
    </row>
    <row r="817">
      <c r="A817" s="69" t="n"/>
      <c r="B817" s="72" t="n"/>
      <c r="C817" s="73" t="n"/>
      <c r="D817" s="69" t="n"/>
      <c r="E817" s="73" t="n"/>
      <c r="F817" s="69" t="n"/>
      <c r="G817" s="69" t="n"/>
    </row>
    <row r="818">
      <c r="A818" s="69" t="n"/>
      <c r="B818" s="72" t="n"/>
      <c r="C818" s="73" t="n"/>
      <c r="D818" s="69" t="n"/>
      <c r="E818" s="73" t="n"/>
      <c r="F818" s="69" t="n"/>
      <c r="G818" s="69" t="n"/>
    </row>
    <row r="819">
      <c r="A819" s="69" t="n"/>
      <c r="B819" s="72" t="n"/>
      <c r="C819" s="73" t="n"/>
      <c r="D819" s="69" t="n"/>
      <c r="E819" s="73" t="n"/>
      <c r="F819" s="69" t="n"/>
      <c r="G819" s="69" t="n"/>
    </row>
    <row r="820">
      <c r="A820" s="69" t="n"/>
      <c r="B820" s="72" t="n"/>
      <c r="C820" s="73" t="n"/>
      <c r="D820" s="69" t="n"/>
      <c r="E820" s="73" t="n"/>
      <c r="F820" s="69" t="n"/>
      <c r="G820" s="69" t="n"/>
    </row>
    <row r="821">
      <c r="A821" s="69" t="n"/>
      <c r="B821" s="72" t="n"/>
      <c r="C821" s="73" t="n"/>
      <c r="D821" s="69" t="n"/>
      <c r="E821" s="73" t="n"/>
      <c r="F821" s="69" t="n"/>
      <c r="G821" s="69" t="n"/>
    </row>
    <row r="822">
      <c r="A822" s="69" t="n"/>
      <c r="B822" s="72" t="n"/>
      <c r="C822" s="73" t="n"/>
      <c r="D822" s="69" t="n"/>
      <c r="E822" s="73" t="n"/>
      <c r="F822" s="69" t="n"/>
      <c r="G822" s="69" t="n"/>
    </row>
    <row r="823">
      <c r="A823" s="69" t="n"/>
      <c r="B823" s="72" t="n"/>
      <c r="C823" s="73" t="n"/>
      <c r="D823" s="69" t="n"/>
      <c r="E823" s="73" t="n"/>
      <c r="F823" s="69" t="n"/>
      <c r="G823" s="69" t="n"/>
    </row>
    <row r="824">
      <c r="A824" s="69" t="n"/>
      <c r="B824" s="72" t="n"/>
      <c r="C824" s="73" t="n"/>
      <c r="D824" s="69" t="n"/>
      <c r="E824" s="73" t="n"/>
      <c r="F824" s="69" t="n"/>
      <c r="G824" s="69" t="n"/>
    </row>
    <row r="825">
      <c r="A825" s="69" t="n"/>
      <c r="B825" s="72" t="n"/>
      <c r="C825" s="73" t="n"/>
      <c r="D825" s="69" t="n"/>
      <c r="E825" s="73" t="n"/>
      <c r="F825" s="69" t="n"/>
      <c r="G825" s="69" t="n"/>
    </row>
    <row r="826">
      <c r="A826" s="69" t="n"/>
      <c r="B826" s="72" t="n"/>
      <c r="C826" s="73" t="n"/>
      <c r="D826" s="69" t="n"/>
      <c r="E826" s="73" t="n"/>
      <c r="F826" s="69" t="n"/>
      <c r="G826" s="69" t="n"/>
    </row>
    <row r="827">
      <c r="A827" s="69" t="n"/>
      <c r="B827" s="72" t="n"/>
      <c r="C827" s="73" t="n"/>
      <c r="D827" s="69" t="n"/>
      <c r="E827" s="73" t="n"/>
      <c r="F827" s="69" t="n"/>
      <c r="G827" s="69" t="n"/>
    </row>
    <row r="828">
      <c r="A828" s="69" t="n"/>
      <c r="B828" s="72" t="n"/>
      <c r="C828" s="73" t="n"/>
      <c r="D828" s="69" t="n"/>
      <c r="E828" s="73" t="n"/>
      <c r="F828" s="69" t="n"/>
      <c r="G828" s="69" t="n"/>
    </row>
    <row r="829">
      <c r="A829" s="69" t="n"/>
      <c r="B829" s="72" t="n"/>
      <c r="C829" s="73" t="n"/>
      <c r="D829" s="69" t="n"/>
      <c r="E829" s="73" t="n"/>
      <c r="F829" s="69" t="n"/>
      <c r="G829" s="69" t="n"/>
    </row>
    <row r="830">
      <c r="A830" s="69" t="n"/>
      <c r="B830" s="72" t="n"/>
      <c r="C830" s="73" t="n"/>
      <c r="D830" s="69" t="n"/>
      <c r="E830" s="73" t="n"/>
      <c r="F830" s="69" t="n"/>
      <c r="G830" s="69" t="n"/>
    </row>
    <row r="831">
      <c r="A831" s="69" t="n"/>
      <c r="B831" s="72" t="n"/>
      <c r="C831" s="73" t="n"/>
      <c r="D831" s="69" t="n"/>
      <c r="E831" s="73" t="n"/>
      <c r="F831" s="69" t="n"/>
      <c r="G831" s="69" t="n"/>
    </row>
    <row r="832">
      <c r="A832" s="69" t="n"/>
      <c r="B832" s="72" t="n"/>
      <c r="C832" s="73" t="n"/>
      <c r="D832" s="69" t="n"/>
      <c r="E832" s="73" t="n"/>
      <c r="F832" s="69" t="n"/>
      <c r="G832" s="69" t="n"/>
    </row>
    <row r="833">
      <c r="A833" s="69" t="n"/>
      <c r="B833" s="72" t="n"/>
      <c r="C833" s="73" t="n"/>
      <c r="D833" s="69" t="n"/>
      <c r="E833" s="73" t="n"/>
      <c r="F833" s="69" t="n"/>
      <c r="G833" s="69" t="n"/>
    </row>
    <row r="834">
      <c r="A834" s="69" t="n"/>
      <c r="B834" s="72" t="n"/>
      <c r="C834" s="73" t="n"/>
      <c r="D834" s="69" t="n"/>
      <c r="E834" s="73" t="n"/>
      <c r="F834" s="69" t="n"/>
      <c r="G834" s="69" t="n"/>
    </row>
    <row r="835">
      <c r="A835" s="69" t="n"/>
      <c r="B835" s="72" t="n"/>
      <c r="C835" s="73" t="n"/>
      <c r="D835" s="69" t="n"/>
      <c r="E835" s="73" t="n"/>
      <c r="F835" s="69" t="n"/>
      <c r="G835" s="69" t="n"/>
    </row>
    <row r="836">
      <c r="A836" s="69" t="n"/>
      <c r="B836" s="72" t="n"/>
      <c r="C836" s="73" t="n"/>
      <c r="D836" s="69" t="n"/>
      <c r="E836" s="73" t="n"/>
      <c r="F836" s="69" t="n"/>
      <c r="G836" s="69" t="n"/>
    </row>
    <row r="837">
      <c r="A837" s="69" t="n"/>
      <c r="B837" s="72" t="n"/>
      <c r="C837" s="73" t="n"/>
      <c r="D837" s="69" t="n"/>
      <c r="E837" s="73" t="n"/>
      <c r="F837" s="69" t="n"/>
      <c r="G837" s="69" t="n"/>
    </row>
    <row r="838">
      <c r="A838" s="69" t="n"/>
      <c r="B838" s="72" t="n"/>
      <c r="C838" s="73" t="n"/>
      <c r="D838" s="69" t="n"/>
      <c r="E838" s="73" t="n"/>
      <c r="F838" s="69" t="n"/>
      <c r="G838" s="69" t="n"/>
    </row>
    <row r="839">
      <c r="A839" s="69" t="n"/>
      <c r="B839" s="72" t="n"/>
      <c r="C839" s="73" t="n"/>
      <c r="D839" s="69" t="n"/>
      <c r="E839" s="73" t="n"/>
      <c r="F839" s="69" t="n"/>
      <c r="G839" s="69" t="n"/>
    </row>
    <row r="840">
      <c r="A840" s="69" t="n"/>
      <c r="B840" s="72" t="n"/>
      <c r="C840" s="73" t="n"/>
      <c r="D840" s="69" t="n"/>
      <c r="E840" s="73" t="n"/>
      <c r="F840" s="69" t="n"/>
      <c r="G840" s="69" t="n"/>
    </row>
    <row r="841">
      <c r="A841" s="69" t="n"/>
      <c r="B841" s="72" t="n"/>
      <c r="C841" s="73" t="n"/>
      <c r="D841" s="69" t="n"/>
      <c r="E841" s="73" t="n"/>
      <c r="F841" s="69" t="n"/>
      <c r="G841" s="69" t="n"/>
    </row>
    <row r="842">
      <c r="A842" s="69" t="n"/>
      <c r="B842" s="72" t="n"/>
      <c r="C842" s="73" t="n"/>
      <c r="D842" s="69" t="n"/>
      <c r="E842" s="73" t="n"/>
      <c r="F842" s="69" t="n"/>
      <c r="G842" s="69" t="n"/>
    </row>
    <row r="843">
      <c r="A843" s="69" t="n"/>
      <c r="B843" s="72" t="n"/>
      <c r="C843" s="73" t="n"/>
      <c r="D843" s="69" t="n"/>
      <c r="E843" s="73" t="n"/>
      <c r="F843" s="69" t="n"/>
      <c r="G843" s="69" t="n"/>
    </row>
    <row r="844">
      <c r="A844" s="69" t="n"/>
      <c r="B844" s="72" t="n"/>
      <c r="C844" s="73" t="n"/>
      <c r="D844" s="69" t="n"/>
      <c r="E844" s="73" t="n"/>
      <c r="F844" s="69" t="n"/>
      <c r="G844" s="69" t="n"/>
    </row>
    <row r="845">
      <c r="A845" s="69" t="n"/>
      <c r="B845" s="72" t="n"/>
      <c r="C845" s="73" t="n"/>
      <c r="D845" s="69" t="n"/>
      <c r="E845" s="73" t="n"/>
      <c r="F845" s="69" t="n"/>
      <c r="G845" s="69" t="n"/>
    </row>
    <row r="846">
      <c r="A846" s="69" t="n"/>
      <c r="B846" s="72" t="n"/>
      <c r="C846" s="73" t="n"/>
      <c r="D846" s="69" t="n"/>
      <c r="E846" s="73" t="n"/>
      <c r="F846" s="69" t="n"/>
      <c r="G846" s="69" t="n"/>
    </row>
    <row r="847">
      <c r="A847" s="69" t="n"/>
      <c r="B847" s="72" t="n"/>
      <c r="C847" s="73" t="n"/>
      <c r="D847" s="69" t="n"/>
      <c r="E847" s="73" t="n"/>
      <c r="F847" s="69" t="n"/>
      <c r="G847" s="69" t="n"/>
    </row>
    <row r="848">
      <c r="A848" s="69" t="n"/>
      <c r="B848" s="72" t="n"/>
      <c r="C848" s="73" t="n"/>
      <c r="D848" s="69" t="n"/>
      <c r="E848" s="73" t="n"/>
      <c r="F848" s="69" t="n"/>
      <c r="G848" s="69" t="n"/>
    </row>
    <row r="849">
      <c r="A849" s="69" t="n"/>
      <c r="B849" s="72" t="n"/>
      <c r="C849" s="73" t="n"/>
      <c r="D849" s="69" t="n"/>
      <c r="E849" s="73" t="n"/>
      <c r="F849" s="69" t="n"/>
      <c r="G849" s="69" t="n"/>
    </row>
    <row r="850">
      <c r="A850" s="69" t="n"/>
      <c r="B850" s="72" t="n"/>
      <c r="C850" s="73" t="n"/>
      <c r="D850" s="69" t="n"/>
      <c r="E850" s="73" t="n"/>
      <c r="F850" s="69" t="n"/>
      <c r="G850" s="69" t="n"/>
    </row>
    <row r="851">
      <c r="A851" s="69" t="n"/>
      <c r="B851" s="72" t="n"/>
      <c r="C851" s="73" t="n"/>
      <c r="D851" s="69" t="n"/>
      <c r="E851" s="73" t="n"/>
      <c r="F851" s="69" t="n"/>
      <c r="G851" s="69" t="n"/>
    </row>
    <row r="852">
      <c r="A852" s="69" t="n"/>
      <c r="B852" s="72" t="n"/>
      <c r="C852" s="73" t="n"/>
      <c r="D852" s="69" t="n"/>
      <c r="E852" s="73" t="n"/>
      <c r="F852" s="69" t="n"/>
      <c r="G852" s="69" t="n"/>
    </row>
    <row r="853">
      <c r="A853" s="69" t="n"/>
      <c r="B853" s="72" t="n"/>
      <c r="C853" s="73" t="n"/>
      <c r="D853" s="69" t="n"/>
      <c r="E853" s="73" t="n"/>
      <c r="F853" s="69" t="n"/>
      <c r="G853" s="69" t="n"/>
    </row>
    <row r="854">
      <c r="A854" s="69" t="n"/>
      <c r="B854" s="72" t="n"/>
      <c r="C854" s="73" t="n"/>
      <c r="D854" s="69" t="n"/>
      <c r="E854" s="73" t="n"/>
      <c r="F854" s="69" t="n"/>
      <c r="G854" s="69" t="n"/>
    </row>
    <row r="855">
      <c r="A855" s="69" t="n"/>
      <c r="B855" s="72" t="n"/>
      <c r="C855" s="73" t="n"/>
      <c r="D855" s="69" t="n"/>
      <c r="E855" s="73" t="n"/>
      <c r="F855" s="69" t="n"/>
      <c r="G855" s="69" t="n"/>
    </row>
    <row r="856">
      <c r="A856" s="69" t="n"/>
      <c r="B856" s="72" t="n"/>
      <c r="C856" s="73" t="n"/>
      <c r="D856" s="69" t="n"/>
      <c r="E856" s="73" t="n"/>
      <c r="F856" s="69" t="n"/>
      <c r="G856" s="69" t="n"/>
    </row>
    <row r="857">
      <c r="A857" s="69" t="n"/>
      <c r="B857" s="72" t="n"/>
      <c r="C857" s="73" t="n"/>
      <c r="D857" s="69" t="n"/>
      <c r="E857" s="73" t="n"/>
      <c r="F857" s="69" t="n"/>
      <c r="G857" s="69" t="n"/>
    </row>
    <row r="858">
      <c r="A858" s="69" t="n"/>
      <c r="B858" s="72" t="n"/>
      <c r="C858" s="73" t="n"/>
      <c r="D858" s="69" t="n"/>
      <c r="E858" s="73" t="n"/>
      <c r="F858" s="69" t="n"/>
      <c r="G858" s="69" t="n"/>
    </row>
    <row r="859">
      <c r="A859" s="69" t="n"/>
      <c r="B859" s="72" t="n"/>
      <c r="C859" s="73" t="n"/>
      <c r="D859" s="69" t="n"/>
      <c r="E859" s="73" t="n"/>
      <c r="F859" s="69" t="n"/>
      <c r="G859" s="69" t="n"/>
    </row>
    <row r="860">
      <c r="A860" s="69" t="n"/>
      <c r="B860" s="72" t="n"/>
      <c r="C860" s="73" t="n"/>
      <c r="D860" s="69" t="n"/>
      <c r="E860" s="73" t="n"/>
      <c r="F860" s="69" t="n"/>
      <c r="G860" s="69" t="n"/>
    </row>
    <row r="861">
      <c r="A861" s="69" t="n"/>
      <c r="B861" s="72" t="n"/>
      <c r="C861" s="73" t="n"/>
      <c r="D861" s="69" t="n"/>
      <c r="E861" s="73" t="n"/>
      <c r="F861" s="69" t="n"/>
      <c r="G861" s="69" t="n"/>
    </row>
    <row r="862">
      <c r="A862" s="69" t="n"/>
      <c r="B862" s="72" t="n"/>
      <c r="C862" s="73" t="n"/>
      <c r="D862" s="69" t="n"/>
      <c r="E862" s="73" t="n"/>
      <c r="F862" s="69" t="n"/>
      <c r="G862" s="69" t="n"/>
    </row>
    <row r="863">
      <c r="A863" s="69" t="n"/>
      <c r="B863" s="72" t="n"/>
      <c r="C863" s="73" t="n"/>
      <c r="D863" s="69" t="n"/>
      <c r="E863" s="73" t="n"/>
      <c r="F863" s="69" t="n"/>
      <c r="G863" s="69" t="n"/>
    </row>
    <row r="864">
      <c r="A864" s="69" t="n"/>
      <c r="B864" s="72" t="n"/>
      <c r="C864" s="73" t="n"/>
      <c r="D864" s="69" t="n"/>
      <c r="E864" s="73" t="n"/>
      <c r="F864" s="69" t="n"/>
      <c r="G864" s="69" t="n"/>
    </row>
    <row r="865">
      <c r="A865" s="69" t="n"/>
      <c r="B865" s="72" t="n"/>
      <c r="C865" s="73" t="n"/>
      <c r="D865" s="69" t="n"/>
      <c r="E865" s="73" t="n"/>
      <c r="F865" s="69" t="n"/>
      <c r="G865" s="69" t="n"/>
    </row>
    <row r="866">
      <c r="A866" s="69" t="n"/>
      <c r="B866" s="72" t="n"/>
      <c r="C866" s="73" t="n"/>
      <c r="D866" s="69" t="n"/>
      <c r="E866" s="73" t="n"/>
      <c r="F866" s="69" t="n"/>
      <c r="G866" s="69" t="n"/>
    </row>
    <row r="867">
      <c r="A867" s="69" t="n"/>
      <c r="B867" s="72" t="n"/>
      <c r="C867" s="73" t="n"/>
      <c r="D867" s="69" t="n"/>
      <c r="E867" s="73" t="n"/>
      <c r="F867" s="69" t="n"/>
      <c r="G867" s="69" t="n"/>
    </row>
    <row r="868">
      <c r="A868" s="69" t="n"/>
      <c r="B868" s="72" t="n"/>
      <c r="C868" s="73" t="n"/>
      <c r="D868" s="69" t="n"/>
      <c r="E868" s="73" t="n"/>
      <c r="F868" s="69" t="n"/>
      <c r="G868" s="69" t="n"/>
    </row>
    <row r="869">
      <c r="A869" s="69" t="n"/>
      <c r="B869" s="72" t="n"/>
      <c r="C869" s="73" t="n"/>
      <c r="D869" s="69" t="n"/>
      <c r="E869" s="73" t="n"/>
      <c r="F869" s="69" t="n"/>
      <c r="G869" s="69" t="n"/>
    </row>
    <row r="870">
      <c r="A870" s="69" t="n"/>
      <c r="B870" s="72" t="n"/>
      <c r="C870" s="73" t="n"/>
      <c r="D870" s="69" t="n"/>
      <c r="E870" s="73" t="n"/>
      <c r="F870" s="69" t="n"/>
      <c r="G870" s="69" t="n"/>
    </row>
    <row r="871">
      <c r="A871" s="69" t="n"/>
      <c r="B871" s="72" t="n"/>
      <c r="C871" s="73" t="n"/>
      <c r="D871" s="69" t="n"/>
      <c r="E871" s="73" t="n"/>
      <c r="F871" s="69" t="n"/>
      <c r="G871" s="69" t="n"/>
    </row>
    <row r="872">
      <c r="A872" s="69" t="n"/>
      <c r="B872" s="72" t="n"/>
      <c r="C872" s="73" t="n"/>
      <c r="D872" s="69" t="n"/>
      <c r="E872" s="73" t="n"/>
      <c r="F872" s="69" t="n"/>
      <c r="G872" s="69" t="n"/>
    </row>
    <row r="873">
      <c r="A873" s="69" t="n"/>
      <c r="B873" s="72" t="n"/>
      <c r="C873" s="73" t="n"/>
      <c r="D873" s="69" t="n"/>
      <c r="E873" s="73" t="n"/>
      <c r="F873" s="69" t="n"/>
      <c r="G873" s="69" t="n"/>
    </row>
    <row r="874">
      <c r="A874" s="69" t="n"/>
      <c r="B874" s="72" t="n"/>
      <c r="C874" s="73" t="n"/>
      <c r="D874" s="69" t="n"/>
      <c r="E874" s="73" t="n"/>
      <c r="F874" s="69" t="n"/>
      <c r="G874" s="69" t="n"/>
    </row>
    <row r="875">
      <c r="A875" s="69" t="n"/>
      <c r="B875" s="72" t="n"/>
      <c r="C875" s="73" t="n"/>
      <c r="D875" s="69" t="n"/>
      <c r="E875" s="73" t="n"/>
      <c r="F875" s="69" t="n"/>
      <c r="G875" s="69" t="n"/>
    </row>
    <row r="876">
      <c r="A876" s="69" t="n"/>
      <c r="B876" s="72" t="n"/>
      <c r="C876" s="73" t="n"/>
      <c r="D876" s="69" t="n"/>
      <c r="E876" s="73" t="n"/>
      <c r="F876" s="69" t="n"/>
      <c r="G876" s="69" t="n"/>
    </row>
    <row r="877">
      <c r="A877" s="69" t="n"/>
      <c r="B877" s="72" t="n"/>
      <c r="C877" s="73" t="n"/>
      <c r="D877" s="69" t="n"/>
      <c r="E877" s="73" t="n"/>
      <c r="F877" s="69" t="n"/>
      <c r="G877" s="69" t="n"/>
    </row>
    <row r="878">
      <c r="A878" s="69" t="n"/>
      <c r="B878" s="72" t="n"/>
      <c r="C878" s="73" t="n"/>
      <c r="D878" s="69" t="n"/>
      <c r="E878" s="73" t="n"/>
      <c r="F878" s="69" t="n"/>
      <c r="G878" s="69" t="n"/>
    </row>
    <row r="879">
      <c r="A879" s="69" t="n"/>
      <c r="B879" s="72" t="n"/>
      <c r="C879" s="73" t="n"/>
      <c r="D879" s="69" t="n"/>
      <c r="E879" s="73" t="n"/>
      <c r="F879" s="69" t="n"/>
      <c r="G879" s="69" t="n"/>
    </row>
    <row r="880">
      <c r="A880" s="69" t="n"/>
      <c r="B880" s="72" t="n"/>
      <c r="C880" s="73" t="n"/>
      <c r="D880" s="69" t="n"/>
      <c r="E880" s="73" t="n"/>
      <c r="F880" s="69" t="n"/>
      <c r="G880" s="69" t="n"/>
    </row>
    <row r="881">
      <c r="A881" s="69" t="n"/>
      <c r="B881" s="72" t="n"/>
      <c r="C881" s="73" t="n"/>
      <c r="D881" s="69" t="n"/>
      <c r="E881" s="73" t="n"/>
      <c r="F881" s="69" t="n"/>
      <c r="G881" s="69" t="n"/>
    </row>
    <row r="882">
      <c r="A882" s="69" t="n"/>
      <c r="B882" s="72" t="n"/>
      <c r="C882" s="73" t="n"/>
      <c r="D882" s="69" t="n"/>
      <c r="E882" s="73" t="n"/>
      <c r="F882" s="69" t="n"/>
      <c r="G882" s="69" t="n"/>
    </row>
    <row r="883">
      <c r="A883" s="69" t="n"/>
      <c r="B883" s="72" t="n"/>
      <c r="C883" s="73" t="n"/>
      <c r="D883" s="69" t="n"/>
      <c r="E883" s="73" t="n"/>
      <c r="F883" s="69" t="n"/>
      <c r="G883" s="69" t="n"/>
    </row>
    <row r="884">
      <c r="A884" s="69" t="n"/>
      <c r="B884" s="72" t="n"/>
      <c r="C884" s="73" t="n"/>
      <c r="D884" s="69" t="n"/>
      <c r="E884" s="73" t="n"/>
      <c r="F884" s="69" t="n"/>
      <c r="G884" s="69" t="n"/>
    </row>
    <row r="885">
      <c r="A885" s="69" t="n"/>
      <c r="B885" s="72" t="n"/>
      <c r="C885" s="73" t="n"/>
      <c r="D885" s="69" t="n"/>
      <c r="E885" s="73" t="n"/>
      <c r="F885" s="69" t="n"/>
      <c r="G885" s="69" t="n"/>
    </row>
    <row r="886">
      <c r="A886" s="69" t="n"/>
      <c r="B886" s="72" t="n"/>
      <c r="C886" s="73" t="n"/>
      <c r="D886" s="69" t="n"/>
      <c r="E886" s="73" t="n"/>
      <c r="F886" s="69" t="n"/>
      <c r="G886" s="69" t="n"/>
    </row>
    <row r="887">
      <c r="A887" s="69" t="n"/>
      <c r="B887" s="72" t="n"/>
      <c r="C887" s="73" t="n"/>
      <c r="D887" s="69" t="n"/>
      <c r="E887" s="73" t="n"/>
      <c r="F887" s="69" t="n"/>
      <c r="G887" s="69" t="n"/>
    </row>
    <row r="888">
      <c r="A888" s="69" t="n"/>
      <c r="B888" s="72" t="n"/>
      <c r="C888" s="73" t="n"/>
      <c r="D888" s="69" t="n"/>
      <c r="E888" s="73" t="n"/>
      <c r="F888" s="69" t="n"/>
      <c r="G888" s="69" t="n"/>
    </row>
    <row r="889">
      <c r="A889" s="69" t="n"/>
      <c r="B889" s="72" t="n"/>
      <c r="C889" s="73" t="n"/>
      <c r="D889" s="69" t="n"/>
      <c r="E889" s="73" t="n"/>
      <c r="F889" s="69" t="n"/>
      <c r="G889" s="69" t="n"/>
    </row>
    <row r="890">
      <c r="A890" s="69" t="n"/>
      <c r="B890" s="72" t="n"/>
      <c r="C890" s="73" t="n"/>
      <c r="D890" s="69" t="n"/>
      <c r="E890" s="73" t="n"/>
      <c r="F890" s="69" t="n"/>
      <c r="G890" s="69" t="n"/>
    </row>
    <row r="891">
      <c r="A891" s="69" t="n"/>
      <c r="B891" s="72" t="n"/>
      <c r="C891" s="73" t="n"/>
      <c r="D891" s="69" t="n"/>
      <c r="E891" s="73" t="n"/>
      <c r="F891" s="69" t="n"/>
      <c r="G891" s="69" t="n"/>
    </row>
    <row r="892">
      <c r="A892" s="69" t="n"/>
      <c r="B892" s="72" t="n"/>
      <c r="C892" s="73" t="n"/>
      <c r="D892" s="69" t="n"/>
      <c r="E892" s="73" t="n"/>
      <c r="F892" s="69" t="n"/>
      <c r="G892" s="69" t="n"/>
    </row>
    <row r="893">
      <c r="A893" s="69" t="n"/>
      <c r="B893" s="72" t="n"/>
      <c r="C893" s="73" t="n"/>
      <c r="D893" s="69" t="n"/>
      <c r="E893" s="73" t="n"/>
      <c r="F893" s="69" t="n"/>
      <c r="G893" s="69" t="n"/>
    </row>
    <row r="894">
      <c r="A894" s="69" t="n"/>
      <c r="B894" s="72" t="n"/>
      <c r="C894" s="73" t="n"/>
      <c r="D894" s="69" t="n"/>
      <c r="E894" s="73" t="n"/>
      <c r="F894" s="69" t="n"/>
      <c r="G894" s="69" t="n"/>
    </row>
    <row r="895">
      <c r="A895" s="69" t="n"/>
      <c r="B895" s="72" t="n"/>
      <c r="C895" s="73" t="n"/>
      <c r="D895" s="69" t="n"/>
      <c r="E895" s="73" t="n"/>
      <c r="F895" s="69" t="n"/>
      <c r="G895" s="69" t="n"/>
    </row>
    <row r="896">
      <c r="A896" s="69" t="n"/>
      <c r="B896" s="72" t="n"/>
      <c r="C896" s="73" t="n"/>
      <c r="D896" s="69" t="n"/>
      <c r="E896" s="73" t="n"/>
      <c r="F896" s="69" t="n"/>
      <c r="G896" s="69" t="n"/>
    </row>
    <row r="897">
      <c r="A897" s="69" t="n"/>
      <c r="B897" s="72" t="n"/>
      <c r="C897" s="73" t="n"/>
      <c r="D897" s="69" t="n"/>
      <c r="E897" s="73" t="n"/>
      <c r="F897" s="69" t="n"/>
      <c r="G897" s="69" t="n"/>
    </row>
    <row r="898">
      <c r="A898" s="69" t="n"/>
      <c r="B898" s="72" t="n"/>
      <c r="C898" s="73" t="n"/>
      <c r="D898" s="69" t="n"/>
      <c r="E898" s="73" t="n"/>
      <c r="F898" s="69" t="n"/>
      <c r="G898" s="69" t="n"/>
    </row>
    <row r="899">
      <c r="A899" s="69" t="n"/>
      <c r="B899" s="72" t="n"/>
      <c r="C899" s="73" t="n"/>
      <c r="D899" s="69" t="n"/>
      <c r="E899" s="73" t="n"/>
      <c r="F899" s="69" t="n"/>
      <c r="G899" s="69" t="n"/>
    </row>
    <row r="900">
      <c r="A900" s="69" t="n"/>
      <c r="B900" s="72" t="n"/>
      <c r="C900" s="73" t="n"/>
      <c r="D900" s="69" t="n"/>
      <c r="E900" s="73" t="n"/>
      <c r="F900" s="69" t="n"/>
      <c r="G900" s="69" t="n"/>
    </row>
    <row r="901">
      <c r="A901" s="69" t="n"/>
      <c r="B901" s="72" t="n"/>
      <c r="C901" s="73" t="n"/>
      <c r="D901" s="69" t="n"/>
      <c r="E901" s="73" t="n"/>
      <c r="F901" s="69" t="n"/>
      <c r="G901" s="69" t="n"/>
    </row>
    <row r="902">
      <c r="A902" s="69" t="n"/>
      <c r="B902" s="72" t="n"/>
      <c r="C902" s="73" t="n"/>
      <c r="D902" s="69" t="n"/>
      <c r="E902" s="73" t="n"/>
      <c r="F902" s="69" t="n"/>
      <c r="G902" s="69" t="n"/>
    </row>
    <row r="903">
      <c r="A903" s="69" t="n"/>
      <c r="B903" s="72" t="n"/>
      <c r="C903" s="73" t="n"/>
      <c r="D903" s="69" t="n"/>
      <c r="E903" s="73" t="n"/>
      <c r="F903" s="69" t="n"/>
      <c r="G903" s="69" t="n"/>
    </row>
    <row r="904">
      <c r="A904" s="69" t="n"/>
      <c r="B904" s="72" t="n"/>
      <c r="C904" s="73" t="n"/>
      <c r="D904" s="69" t="n"/>
      <c r="E904" s="73" t="n"/>
      <c r="F904" s="69" t="n"/>
      <c r="G904" s="69" t="n"/>
    </row>
    <row r="905">
      <c r="A905" s="69" t="n"/>
      <c r="B905" s="72" t="n"/>
      <c r="C905" s="73" t="n"/>
      <c r="D905" s="69" t="n"/>
      <c r="E905" s="73" t="n"/>
      <c r="F905" s="69" t="n"/>
      <c r="G905" s="69" t="n"/>
    </row>
    <row r="906">
      <c r="A906" s="69" t="n"/>
      <c r="B906" s="72" t="n"/>
      <c r="C906" s="73" t="n"/>
      <c r="D906" s="69" t="n"/>
      <c r="E906" s="73" t="n"/>
      <c r="F906" s="69" t="n"/>
      <c r="G906" s="69" t="n"/>
    </row>
    <row r="907">
      <c r="A907" s="69" t="n"/>
      <c r="B907" s="72" t="n"/>
      <c r="C907" s="73" t="n"/>
      <c r="D907" s="69" t="n"/>
      <c r="E907" s="73" t="n"/>
      <c r="F907" s="69" t="n"/>
      <c r="G907" s="69" t="n"/>
    </row>
    <row r="908">
      <c r="A908" s="69" t="n"/>
      <c r="B908" s="72" t="n"/>
      <c r="C908" s="73" t="n"/>
      <c r="D908" s="69" t="n"/>
      <c r="E908" s="73" t="n"/>
      <c r="F908" s="69" t="n"/>
      <c r="G908" s="69" t="n"/>
    </row>
    <row r="909">
      <c r="A909" s="69" t="n"/>
      <c r="B909" s="72" t="n"/>
      <c r="C909" s="73" t="n"/>
      <c r="D909" s="69" t="n"/>
      <c r="E909" s="73" t="n"/>
      <c r="F909" s="69" t="n"/>
      <c r="G909" s="69" t="n"/>
    </row>
    <row r="910">
      <c r="A910" s="69" t="n"/>
      <c r="B910" s="72" t="n"/>
      <c r="C910" s="73" t="n"/>
      <c r="D910" s="69" t="n"/>
      <c r="E910" s="73" t="n"/>
      <c r="F910" s="69" t="n"/>
      <c r="G910" s="69" t="n"/>
    </row>
    <row r="911">
      <c r="A911" s="69" t="n"/>
      <c r="B911" s="72" t="n"/>
      <c r="C911" s="73" t="n"/>
      <c r="D911" s="69" t="n"/>
      <c r="E911" s="73" t="n"/>
      <c r="F911" s="69" t="n"/>
      <c r="G911" s="69" t="n"/>
    </row>
    <row r="912">
      <c r="A912" s="69" t="n"/>
      <c r="B912" s="72" t="n"/>
      <c r="C912" s="73" t="n"/>
      <c r="D912" s="69" t="n"/>
      <c r="E912" s="73" t="n"/>
      <c r="F912" s="69" t="n"/>
      <c r="G912" s="69" t="n"/>
    </row>
    <row r="913">
      <c r="A913" s="69" t="n"/>
      <c r="B913" s="72" t="n"/>
      <c r="C913" s="73" t="n"/>
      <c r="D913" s="69" t="n"/>
      <c r="E913" s="73" t="n"/>
      <c r="F913" s="69" t="n"/>
      <c r="G913" s="69" t="n"/>
    </row>
    <row r="914">
      <c r="A914" s="69" t="n"/>
      <c r="B914" s="72" t="n"/>
      <c r="C914" s="73" t="n"/>
      <c r="D914" s="69" t="n"/>
      <c r="E914" s="73" t="n"/>
      <c r="F914" s="69" t="n"/>
      <c r="G914" s="69" t="n"/>
    </row>
    <row r="915">
      <c r="A915" s="69" t="n"/>
      <c r="B915" s="72" t="n"/>
      <c r="C915" s="73" t="n"/>
      <c r="D915" s="69" t="n"/>
      <c r="E915" s="73" t="n"/>
      <c r="F915" s="69" t="n"/>
      <c r="G915" s="69" t="n"/>
    </row>
    <row r="916">
      <c r="A916" s="69" t="n"/>
      <c r="B916" s="72" t="n"/>
      <c r="C916" s="73" t="n"/>
      <c r="D916" s="69" t="n"/>
      <c r="E916" s="73" t="n"/>
      <c r="F916" s="69" t="n"/>
      <c r="G916" s="69" t="n"/>
    </row>
    <row r="917">
      <c r="A917" s="69" t="n"/>
      <c r="B917" s="72" t="n"/>
      <c r="C917" s="73" t="n"/>
      <c r="D917" s="69" t="n"/>
      <c r="E917" s="73" t="n"/>
      <c r="F917" s="69" t="n"/>
      <c r="G917" s="69" t="n"/>
    </row>
    <row r="918">
      <c r="A918" s="69" t="n"/>
      <c r="B918" s="72" t="n"/>
      <c r="C918" s="73" t="n"/>
      <c r="D918" s="69" t="n"/>
      <c r="E918" s="73" t="n"/>
      <c r="F918" s="69" t="n"/>
      <c r="G918" s="69" t="n"/>
    </row>
    <row r="919">
      <c r="A919" s="69" t="n"/>
      <c r="B919" s="72" t="n"/>
      <c r="C919" s="73" t="n"/>
      <c r="D919" s="69" t="n"/>
      <c r="E919" s="73" t="n"/>
      <c r="F919" s="69" t="n"/>
      <c r="G919" s="69" t="n"/>
    </row>
    <row r="920">
      <c r="A920" s="69" t="n"/>
      <c r="B920" s="72" t="n"/>
      <c r="C920" s="73" t="n"/>
      <c r="D920" s="69" t="n"/>
      <c r="E920" s="73" t="n"/>
      <c r="F920" s="69" t="n"/>
      <c r="G920" s="69" t="n"/>
    </row>
    <row r="921">
      <c r="A921" s="69" t="n"/>
      <c r="B921" s="72" t="n"/>
      <c r="C921" s="73" t="n"/>
      <c r="D921" s="69" t="n"/>
      <c r="E921" s="73" t="n"/>
      <c r="F921" s="69" t="n"/>
      <c r="G921" s="69" t="n"/>
    </row>
    <row r="922">
      <c r="A922" s="69" t="n"/>
      <c r="B922" s="72" t="n"/>
      <c r="C922" s="73" t="n"/>
      <c r="D922" s="69" t="n"/>
      <c r="E922" s="73" t="n"/>
      <c r="F922" s="69" t="n"/>
      <c r="G922" s="69" t="n"/>
    </row>
    <row r="923">
      <c r="A923" s="69" t="n"/>
      <c r="B923" s="72" t="n"/>
      <c r="C923" s="73" t="n"/>
      <c r="D923" s="69" t="n"/>
      <c r="E923" s="73" t="n"/>
      <c r="F923" s="69" t="n"/>
      <c r="G923" s="69" t="n"/>
    </row>
    <row r="924">
      <c r="A924" s="69" t="n"/>
      <c r="B924" s="72" t="n"/>
      <c r="C924" s="73" t="n"/>
      <c r="D924" s="69" t="n"/>
      <c r="E924" s="73" t="n"/>
      <c r="F924" s="69" t="n"/>
      <c r="G924" s="69" t="n"/>
    </row>
    <row r="925">
      <c r="A925" s="69" t="n"/>
      <c r="B925" s="72" t="n"/>
      <c r="C925" s="73" t="n"/>
      <c r="D925" s="69" t="n"/>
      <c r="E925" s="73" t="n"/>
      <c r="F925" s="69" t="n"/>
      <c r="G925" s="69" t="n"/>
    </row>
    <row r="926">
      <c r="A926" s="69" t="n"/>
      <c r="B926" s="72" t="n"/>
      <c r="C926" s="73" t="n"/>
      <c r="D926" s="69" t="n"/>
      <c r="E926" s="73" t="n"/>
      <c r="F926" s="69" t="n"/>
      <c r="G926" s="69" t="n"/>
    </row>
    <row r="927">
      <c r="A927" s="69" t="n"/>
      <c r="B927" s="72" t="n"/>
      <c r="C927" s="73" t="n"/>
      <c r="D927" s="69" t="n"/>
      <c r="E927" s="73" t="n"/>
      <c r="F927" s="69" t="n"/>
      <c r="G927" s="69" t="n"/>
    </row>
    <row r="928">
      <c r="A928" s="69" t="n"/>
      <c r="B928" s="72" t="n"/>
      <c r="C928" s="73" t="n"/>
      <c r="D928" s="69" t="n"/>
      <c r="E928" s="73" t="n"/>
      <c r="F928" s="69" t="n"/>
      <c r="G928" s="69" t="n"/>
    </row>
    <row r="929">
      <c r="A929" s="69" t="n"/>
      <c r="B929" s="72" t="n"/>
      <c r="C929" s="73" t="n"/>
      <c r="D929" s="69" t="n"/>
      <c r="E929" s="73" t="n"/>
      <c r="F929" s="69" t="n"/>
      <c r="G929" s="69" t="n"/>
    </row>
    <row r="930">
      <c r="A930" s="69" t="n"/>
      <c r="B930" s="72" t="n"/>
      <c r="C930" s="73" t="n"/>
      <c r="D930" s="69" t="n"/>
      <c r="E930" s="73" t="n"/>
      <c r="F930" s="69" t="n"/>
      <c r="G930" s="69" t="n"/>
    </row>
    <row r="931">
      <c r="A931" s="69" t="n"/>
      <c r="B931" s="72" t="n"/>
      <c r="C931" s="73" t="n"/>
      <c r="D931" s="69" t="n"/>
      <c r="E931" s="73" t="n"/>
      <c r="F931" s="69" t="n"/>
      <c r="G931" s="69" t="n"/>
    </row>
    <row r="932">
      <c r="A932" s="69" t="n"/>
      <c r="B932" s="72" t="n"/>
      <c r="C932" s="73" t="n"/>
      <c r="D932" s="69" t="n"/>
      <c r="E932" s="73" t="n"/>
      <c r="F932" s="69" t="n"/>
      <c r="G932" s="69" t="n"/>
    </row>
    <row r="933">
      <c r="A933" s="69" t="n"/>
      <c r="B933" s="72" t="n"/>
      <c r="C933" s="73" t="n"/>
      <c r="D933" s="69" t="n"/>
      <c r="E933" s="73" t="n"/>
      <c r="F933" s="69" t="n"/>
      <c r="G933" s="69" t="n"/>
    </row>
    <row r="934">
      <c r="A934" s="69" t="n"/>
      <c r="B934" s="72" t="n"/>
      <c r="C934" s="73" t="n"/>
      <c r="D934" s="69" t="n"/>
      <c r="E934" s="73" t="n"/>
      <c r="F934" s="69" t="n"/>
      <c r="G934" s="69" t="n"/>
    </row>
    <row r="935">
      <c r="A935" s="69" t="n"/>
      <c r="B935" s="72" t="n"/>
      <c r="C935" s="73" t="n"/>
      <c r="D935" s="69" t="n"/>
      <c r="E935" s="73" t="n"/>
      <c r="F935" s="69" t="n"/>
      <c r="G935" s="69" t="n"/>
    </row>
    <row r="936">
      <c r="A936" s="69" t="n"/>
      <c r="B936" s="72" t="n"/>
      <c r="C936" s="73" t="n"/>
      <c r="D936" s="69" t="n"/>
      <c r="E936" s="73" t="n"/>
      <c r="F936" s="69" t="n"/>
      <c r="G936" s="69" t="n"/>
    </row>
    <row r="937">
      <c r="A937" s="69" t="n"/>
      <c r="B937" s="72" t="n"/>
      <c r="C937" s="73" t="n"/>
      <c r="D937" s="69" t="n"/>
      <c r="E937" s="73" t="n"/>
      <c r="F937" s="69" t="n"/>
      <c r="G937" s="69" t="n"/>
    </row>
    <row r="938">
      <c r="A938" s="69" t="n"/>
      <c r="B938" s="72" t="n"/>
      <c r="C938" s="73" t="n"/>
      <c r="D938" s="69" t="n"/>
      <c r="E938" s="73" t="n"/>
      <c r="F938" s="69" t="n"/>
      <c r="G938" s="69" t="n"/>
    </row>
    <row r="939">
      <c r="A939" s="69" t="n"/>
      <c r="B939" s="72" t="n"/>
      <c r="C939" s="73" t="n"/>
      <c r="D939" s="69" t="n"/>
      <c r="E939" s="73" t="n"/>
      <c r="F939" s="69" t="n"/>
      <c r="G939" s="69" t="n"/>
    </row>
    <row r="940">
      <c r="A940" s="69" t="n"/>
      <c r="B940" s="72" t="n"/>
      <c r="C940" s="73" t="n"/>
      <c r="D940" s="69" t="n"/>
      <c r="E940" s="73" t="n"/>
      <c r="F940" s="69" t="n"/>
      <c r="G940" s="69" t="n"/>
    </row>
    <row r="941">
      <c r="A941" s="69" t="n"/>
      <c r="B941" s="72" t="n"/>
      <c r="C941" s="73" t="n"/>
      <c r="D941" s="69" t="n"/>
      <c r="E941" s="73" t="n"/>
      <c r="F941" s="69" t="n"/>
      <c r="G941" s="69" t="n"/>
    </row>
    <row r="942">
      <c r="A942" s="69" t="n"/>
      <c r="B942" s="72" t="n"/>
      <c r="C942" s="73" t="n"/>
      <c r="D942" s="69" t="n"/>
      <c r="E942" s="73" t="n"/>
      <c r="F942" s="69" t="n"/>
      <c r="G942" s="69" t="n"/>
    </row>
    <row r="943">
      <c r="A943" s="69" t="n"/>
      <c r="B943" s="72" t="n"/>
      <c r="C943" s="73" t="n"/>
      <c r="D943" s="69" t="n"/>
      <c r="E943" s="73" t="n"/>
      <c r="F943" s="69" t="n"/>
      <c r="G943" s="69" t="n"/>
    </row>
    <row r="944">
      <c r="A944" s="69" t="n"/>
      <c r="B944" s="72" t="n"/>
      <c r="C944" s="73" t="n"/>
      <c r="D944" s="69" t="n"/>
      <c r="E944" s="73" t="n"/>
      <c r="F944" s="69" t="n"/>
      <c r="G944" s="69" t="n"/>
    </row>
    <row r="945">
      <c r="A945" s="69" t="n"/>
      <c r="B945" s="72" t="n"/>
      <c r="C945" s="73" t="n"/>
      <c r="D945" s="69" t="n"/>
      <c r="E945" s="73" t="n"/>
      <c r="F945" s="69" t="n"/>
      <c r="G945" s="69" t="n"/>
    </row>
    <row r="946">
      <c r="A946" s="69" t="n"/>
      <c r="B946" s="72" t="n"/>
      <c r="C946" s="73" t="n"/>
      <c r="D946" s="69" t="n"/>
      <c r="E946" s="73" t="n"/>
      <c r="F946" s="69" t="n"/>
      <c r="G946" s="69" t="n"/>
    </row>
    <row r="947">
      <c r="A947" s="69" t="n"/>
      <c r="B947" s="72" t="n"/>
      <c r="C947" s="73" t="n"/>
      <c r="D947" s="69" t="n"/>
      <c r="E947" s="73" t="n"/>
      <c r="F947" s="69" t="n"/>
      <c r="G947" s="69" t="n"/>
    </row>
    <row r="948">
      <c r="A948" s="69" t="n"/>
      <c r="B948" s="72" t="n"/>
      <c r="C948" s="73" t="n"/>
      <c r="D948" s="69" t="n"/>
      <c r="E948" s="73" t="n"/>
      <c r="F948" s="69" t="n"/>
      <c r="G948" s="69" t="n"/>
    </row>
    <row r="949">
      <c r="A949" s="69" t="n"/>
      <c r="B949" s="72" t="n"/>
      <c r="C949" s="73" t="n"/>
      <c r="D949" s="69" t="n"/>
      <c r="E949" s="73" t="n"/>
      <c r="F949" s="69" t="n"/>
      <c r="G949" s="69" t="n"/>
    </row>
    <row r="950">
      <c r="A950" s="69" t="n"/>
      <c r="B950" s="72" t="n"/>
      <c r="C950" s="73" t="n"/>
      <c r="D950" s="69" t="n"/>
      <c r="E950" s="73" t="n"/>
      <c r="F950" s="69" t="n"/>
      <c r="G950" s="69" t="n"/>
    </row>
    <row r="951">
      <c r="A951" s="69" t="n"/>
      <c r="B951" s="72" t="n"/>
      <c r="C951" s="73" t="n"/>
      <c r="D951" s="69" t="n"/>
      <c r="E951" s="73" t="n"/>
      <c r="F951" s="69" t="n"/>
      <c r="G951" s="69" t="n"/>
    </row>
    <row r="952">
      <c r="A952" s="69" t="n"/>
      <c r="B952" s="72" t="n"/>
      <c r="C952" s="73" t="n"/>
      <c r="D952" s="69" t="n"/>
      <c r="E952" s="73" t="n"/>
      <c r="F952" s="69" t="n"/>
      <c r="G952" s="69" t="n"/>
    </row>
    <row r="953">
      <c r="A953" s="69" t="n"/>
      <c r="B953" s="72" t="n"/>
      <c r="C953" s="73" t="n"/>
      <c r="D953" s="69" t="n"/>
      <c r="E953" s="73" t="n"/>
      <c r="F953" s="69" t="n"/>
      <c r="G953" s="69" t="n"/>
    </row>
    <row r="954">
      <c r="A954" s="69" t="n"/>
      <c r="B954" s="72" t="n"/>
      <c r="C954" s="73" t="n"/>
      <c r="D954" s="69" t="n"/>
      <c r="E954" s="73" t="n"/>
      <c r="F954" s="69" t="n"/>
      <c r="G954" s="69" t="n"/>
    </row>
    <row r="955">
      <c r="A955" s="69" t="n"/>
      <c r="B955" s="72" t="n"/>
      <c r="C955" s="73" t="n"/>
      <c r="D955" s="69" t="n"/>
      <c r="E955" s="73" t="n"/>
      <c r="F955" s="69" t="n"/>
      <c r="G955" s="69" t="n"/>
    </row>
    <row r="956">
      <c r="A956" s="69" t="n"/>
      <c r="B956" s="72" t="n"/>
      <c r="C956" s="73" t="n"/>
      <c r="D956" s="69" t="n"/>
      <c r="E956" s="73" t="n"/>
      <c r="F956" s="69" t="n"/>
      <c r="G956" s="69" t="n"/>
    </row>
    <row r="957">
      <c r="A957" s="69" t="n"/>
      <c r="B957" s="72" t="n"/>
      <c r="C957" s="73" t="n"/>
      <c r="D957" s="69" t="n"/>
      <c r="E957" s="73" t="n"/>
      <c r="F957" s="69" t="n"/>
      <c r="G957" s="69" t="n"/>
    </row>
    <row r="958">
      <c r="A958" s="69" t="n"/>
      <c r="B958" s="72" t="n"/>
      <c r="C958" s="73" t="n"/>
      <c r="D958" s="69" t="n"/>
      <c r="E958" s="73" t="n"/>
      <c r="F958" s="69" t="n"/>
      <c r="G958" s="69" t="n"/>
    </row>
    <row r="959">
      <c r="A959" s="69" t="n"/>
      <c r="B959" s="72" t="n"/>
      <c r="C959" s="73" t="n"/>
      <c r="D959" s="69" t="n"/>
      <c r="E959" s="73" t="n"/>
      <c r="F959" s="69" t="n"/>
      <c r="G959" s="69" t="n"/>
    </row>
    <row r="960">
      <c r="A960" s="69" t="n"/>
      <c r="B960" s="72" t="n"/>
      <c r="C960" s="73" t="n"/>
      <c r="D960" s="69" t="n"/>
      <c r="E960" s="73" t="n"/>
      <c r="F960" s="69" t="n"/>
      <c r="G960" s="69" t="n"/>
    </row>
    <row r="961">
      <c r="A961" s="69" t="n"/>
      <c r="B961" s="72" t="n"/>
      <c r="C961" s="73" t="n"/>
      <c r="D961" s="69" t="n"/>
      <c r="E961" s="73" t="n"/>
      <c r="F961" s="69" t="n"/>
      <c r="G961" s="69" t="n"/>
    </row>
    <row r="962">
      <c r="A962" s="69" t="n"/>
      <c r="B962" s="72" t="n"/>
      <c r="C962" s="73" t="n"/>
      <c r="D962" s="69" t="n"/>
      <c r="E962" s="73" t="n"/>
      <c r="F962" s="69" t="n"/>
      <c r="G962" s="69" t="n"/>
    </row>
    <row r="963">
      <c r="A963" s="69" t="n"/>
      <c r="B963" s="72" t="n"/>
      <c r="C963" s="73" t="n"/>
      <c r="D963" s="69" t="n"/>
      <c r="E963" s="73" t="n"/>
      <c r="F963" s="69" t="n"/>
      <c r="G963" s="69" t="n"/>
    </row>
    <row r="964">
      <c r="A964" s="69" t="n"/>
      <c r="B964" s="72" t="n"/>
      <c r="C964" s="73" t="n"/>
      <c r="D964" s="69" t="n"/>
      <c r="E964" s="73" t="n"/>
      <c r="F964" s="69" t="n"/>
      <c r="G964" s="69" t="n"/>
    </row>
    <row r="965">
      <c r="A965" s="69" t="n"/>
      <c r="B965" s="72" t="n"/>
      <c r="C965" s="73" t="n"/>
      <c r="D965" s="69" t="n"/>
      <c r="E965" s="73" t="n"/>
      <c r="F965" s="69" t="n"/>
      <c r="G965" s="69" t="n"/>
    </row>
    <row r="966">
      <c r="A966" s="69" t="n"/>
      <c r="B966" s="72" t="n"/>
      <c r="C966" s="73" t="n"/>
      <c r="D966" s="69" t="n"/>
      <c r="E966" s="73" t="n"/>
      <c r="F966" s="69" t="n"/>
      <c r="G966" s="69" t="n"/>
    </row>
    <row r="967">
      <c r="A967" s="69" t="n"/>
      <c r="B967" s="72" t="n"/>
      <c r="C967" s="73" t="n"/>
      <c r="D967" s="69" t="n"/>
      <c r="E967" s="73" t="n"/>
      <c r="F967" s="69" t="n"/>
      <c r="G967" s="69" t="n"/>
    </row>
    <row r="968">
      <c r="A968" s="69" t="n"/>
      <c r="B968" s="72" t="n"/>
      <c r="C968" s="73" t="n"/>
      <c r="D968" s="69" t="n"/>
      <c r="E968" s="73" t="n"/>
      <c r="F968" s="69" t="n"/>
      <c r="G968" s="69" t="n"/>
    </row>
    <row r="969">
      <c r="A969" s="69" t="n"/>
      <c r="B969" s="72" t="n"/>
      <c r="C969" s="73" t="n"/>
      <c r="D969" s="69" t="n"/>
      <c r="E969" s="73" t="n"/>
      <c r="F969" s="69" t="n"/>
      <c r="G969" s="69" t="n"/>
    </row>
    <row r="970">
      <c r="A970" s="69" t="n"/>
      <c r="B970" s="72" t="n"/>
      <c r="C970" s="73" t="n"/>
      <c r="D970" s="69" t="n"/>
      <c r="E970" s="73" t="n"/>
      <c r="F970" s="69" t="n"/>
      <c r="G970" s="69" t="n"/>
    </row>
    <row r="971">
      <c r="A971" s="69" t="n"/>
      <c r="B971" s="72" t="n"/>
      <c r="C971" s="73" t="n"/>
      <c r="D971" s="69" t="n"/>
      <c r="E971" s="73" t="n"/>
      <c r="F971" s="69" t="n"/>
      <c r="G971" s="69" t="n"/>
    </row>
    <row r="972">
      <c r="A972" s="69" t="n"/>
      <c r="B972" s="72" t="n"/>
      <c r="C972" s="73" t="n"/>
      <c r="D972" s="69" t="n"/>
      <c r="E972" s="73" t="n"/>
      <c r="F972" s="69" t="n"/>
      <c r="G972" s="69" t="n"/>
    </row>
    <row r="973">
      <c r="A973" s="69" t="n"/>
      <c r="B973" s="72" t="n"/>
      <c r="C973" s="73" t="n"/>
      <c r="D973" s="69" t="n"/>
      <c r="E973" s="73" t="n"/>
      <c r="F973" s="69" t="n"/>
      <c r="G973" s="69" t="n"/>
    </row>
    <row r="974">
      <c r="A974" s="69" t="n"/>
      <c r="B974" s="72" t="n"/>
      <c r="C974" s="73" t="n"/>
      <c r="D974" s="69" t="n"/>
      <c r="E974" s="73" t="n"/>
      <c r="F974" s="69" t="n"/>
      <c r="G974" s="69" t="n"/>
    </row>
    <row r="975">
      <c r="A975" s="69" t="n"/>
      <c r="B975" s="72" t="n"/>
      <c r="C975" s="73" t="n"/>
      <c r="D975" s="69" t="n"/>
      <c r="E975" s="73" t="n"/>
      <c r="F975" s="69" t="n"/>
      <c r="G975" s="69" t="n"/>
    </row>
    <row r="976">
      <c r="A976" s="69" t="n"/>
      <c r="B976" s="72" t="n"/>
      <c r="C976" s="73" t="n"/>
      <c r="D976" s="69" t="n"/>
      <c r="E976" s="73" t="n"/>
      <c r="F976" s="69" t="n"/>
      <c r="G976" s="69" t="n"/>
    </row>
    <row r="977">
      <c r="A977" s="69" t="n"/>
      <c r="B977" s="72" t="n"/>
      <c r="C977" s="73" t="n"/>
      <c r="D977" s="69" t="n"/>
      <c r="E977" s="73" t="n"/>
      <c r="F977" s="69" t="n"/>
      <c r="G977" s="69" t="n"/>
    </row>
    <row r="978">
      <c r="A978" s="69" t="n"/>
      <c r="B978" s="72" t="n"/>
      <c r="C978" s="73" t="n"/>
      <c r="D978" s="69" t="n"/>
      <c r="E978" s="73" t="n"/>
      <c r="F978" s="69" t="n"/>
      <c r="G978" s="69" t="n"/>
    </row>
    <row r="979">
      <c r="A979" s="69" t="n"/>
      <c r="B979" s="72" t="n"/>
      <c r="C979" s="73" t="n"/>
      <c r="D979" s="69" t="n"/>
      <c r="E979" s="73" t="n"/>
      <c r="F979" s="69" t="n"/>
      <c r="G979" s="69" t="n"/>
    </row>
    <row r="980">
      <c r="A980" s="69" t="n"/>
      <c r="B980" s="72" t="n"/>
      <c r="C980" s="73" t="n"/>
      <c r="D980" s="69" t="n"/>
      <c r="E980" s="73" t="n"/>
      <c r="F980" s="69" t="n"/>
      <c r="G980" s="69" t="n"/>
    </row>
    <row r="981">
      <c r="A981" s="69" t="n"/>
      <c r="B981" s="72" t="n"/>
      <c r="C981" s="73" t="n"/>
      <c r="D981" s="69" t="n"/>
      <c r="E981" s="73" t="n"/>
      <c r="F981" s="69" t="n"/>
      <c r="G981" s="69" t="n"/>
    </row>
    <row r="982">
      <c r="A982" s="69" t="n"/>
      <c r="B982" s="72" t="n"/>
      <c r="C982" s="73" t="n"/>
      <c r="D982" s="69" t="n"/>
      <c r="E982" s="73" t="n"/>
      <c r="F982" s="69" t="n"/>
      <c r="G982" s="69" t="n"/>
    </row>
    <row r="983">
      <c r="A983" s="69" t="n"/>
      <c r="B983" s="72" t="n"/>
      <c r="C983" s="73" t="n"/>
      <c r="D983" s="69" t="n"/>
      <c r="E983" s="73" t="n"/>
      <c r="F983" s="69" t="n"/>
      <c r="G983" s="69" t="n"/>
    </row>
    <row r="984">
      <c r="A984" s="69" t="n"/>
      <c r="B984" s="72" t="n"/>
      <c r="C984" s="73" t="n"/>
      <c r="D984" s="69" t="n"/>
      <c r="E984" s="73" t="n"/>
      <c r="F984" s="69" t="n"/>
      <c r="G984" s="69" t="n"/>
    </row>
    <row r="985">
      <c r="A985" s="69" t="n"/>
      <c r="B985" s="72" t="n"/>
      <c r="C985" s="73" t="n"/>
      <c r="D985" s="69" t="n"/>
      <c r="E985" s="73" t="n"/>
      <c r="F985" s="69" t="n"/>
      <c r="G985" s="69" t="n"/>
    </row>
    <row r="986">
      <c r="A986" s="69" t="n"/>
      <c r="B986" s="72" t="n"/>
      <c r="C986" s="73" t="n"/>
      <c r="D986" s="69" t="n"/>
      <c r="E986" s="73" t="n"/>
      <c r="F986" s="69" t="n"/>
      <c r="G986" s="69" t="n"/>
    </row>
    <row r="987">
      <c r="A987" s="69" t="n"/>
      <c r="B987" s="72" t="n"/>
      <c r="C987" s="73" t="n"/>
      <c r="D987" s="69" t="n"/>
      <c r="E987" s="73" t="n"/>
      <c r="F987" s="69" t="n"/>
      <c r="G987" s="69" t="n"/>
    </row>
    <row r="988">
      <c r="A988" s="69" t="n"/>
      <c r="B988" s="72" t="n"/>
      <c r="C988" s="73" t="n"/>
      <c r="D988" s="69" t="n"/>
      <c r="E988" s="73" t="n"/>
      <c r="F988" s="69" t="n"/>
      <c r="G988" s="69" t="n"/>
    </row>
    <row r="989">
      <c r="A989" s="69" t="n"/>
      <c r="B989" s="72" t="n"/>
      <c r="C989" s="73" t="n"/>
      <c r="D989" s="69" t="n"/>
      <c r="E989" s="73" t="n"/>
      <c r="F989" s="69" t="n"/>
      <c r="G989" s="69" t="n"/>
    </row>
    <row r="990">
      <c r="A990" s="69" t="n"/>
      <c r="B990" s="72" t="n"/>
      <c r="C990" s="73" t="n"/>
      <c r="D990" s="69" t="n"/>
      <c r="E990" s="73" t="n"/>
      <c r="F990" s="69" t="n"/>
      <c r="G990" s="69" t="n"/>
    </row>
    <row r="991">
      <c r="A991" s="69" t="n"/>
      <c r="B991" s="72" t="n"/>
      <c r="C991" s="73" t="n"/>
      <c r="D991" s="69" t="n"/>
      <c r="E991" s="73" t="n"/>
      <c r="F991" s="69" t="n"/>
      <c r="G991" s="69" t="n"/>
    </row>
    <row r="992">
      <c r="A992" s="69" t="n"/>
      <c r="B992" s="72" t="n"/>
      <c r="C992" s="73" t="n"/>
      <c r="D992" s="69" t="n"/>
      <c r="E992" s="73" t="n"/>
      <c r="F992" s="69" t="n"/>
      <c r="G992" s="69" t="n"/>
    </row>
    <row r="993">
      <c r="A993" s="69" t="n"/>
      <c r="B993" s="72" t="n"/>
      <c r="C993" s="73" t="n"/>
      <c r="D993" s="69" t="n"/>
      <c r="E993" s="73" t="n"/>
      <c r="F993" s="69" t="n"/>
      <c r="G993" s="69" t="n"/>
    </row>
    <row r="994">
      <c r="A994" s="69" t="n"/>
      <c r="B994" s="72" t="n"/>
      <c r="C994" s="73" t="n"/>
      <c r="D994" s="69" t="n"/>
      <c r="E994" s="73" t="n"/>
      <c r="F994" s="69" t="n"/>
      <c r="G994" s="69" t="n"/>
    </row>
    <row r="995">
      <c r="A995" s="69" t="n"/>
      <c r="B995" s="72" t="n"/>
      <c r="C995" s="73" t="n"/>
      <c r="D995" s="69" t="n"/>
      <c r="E995" s="73" t="n"/>
      <c r="F995" s="69" t="n"/>
      <c r="G995" s="69" t="n"/>
    </row>
    <row r="996">
      <c r="A996" s="69" t="n"/>
      <c r="B996" s="72" t="n"/>
      <c r="C996" s="73" t="n"/>
      <c r="D996" s="69" t="n"/>
      <c r="E996" s="73" t="n"/>
      <c r="F996" s="69" t="n"/>
      <c r="G996" s="69" t="n"/>
    </row>
    <row r="997">
      <c r="A997" s="69" t="n"/>
      <c r="B997" s="72" t="n"/>
      <c r="C997" s="73" t="n"/>
      <c r="D997" s="69" t="n"/>
      <c r="E997" s="73" t="n"/>
      <c r="F997" s="69" t="n"/>
      <c r="G997" s="69" t="n"/>
    </row>
    <row r="998">
      <c r="A998" s="69" t="n"/>
      <c r="B998" s="72" t="n"/>
      <c r="C998" s="73" t="n"/>
      <c r="D998" s="69" t="n"/>
      <c r="E998" s="73" t="n"/>
      <c r="F998" s="69" t="n"/>
      <c r="G998" s="69" t="n"/>
    </row>
    <row r="999">
      <c r="A999" s="69" t="n"/>
      <c r="B999" s="72" t="n"/>
      <c r="C999" s="73" t="n"/>
      <c r="D999" s="69" t="n"/>
      <c r="E999" s="73" t="n"/>
      <c r="F999" s="69" t="n"/>
      <c r="G999" s="69" t="n"/>
    </row>
    <row r="1000">
      <c r="A1000" s="69" t="n"/>
      <c r="B1000" s="72" t="n"/>
      <c r="C1000" s="73" t="n"/>
      <c r="D1000" s="69" t="n"/>
      <c r="E1000" s="73" t="n"/>
      <c r="F1000" s="69" t="n"/>
      <c r="G1000" s="69" t="n"/>
    </row>
    <row r="1001">
      <c r="A1001" s="69" t="n"/>
      <c r="B1001" s="72" t="n"/>
      <c r="C1001" s="73" t="n"/>
      <c r="D1001" s="69" t="n"/>
      <c r="E1001" s="73" t="n"/>
      <c r="F1001" s="69" t="n"/>
      <c r="G1001" s="69" t="n"/>
    </row>
    <row r="1002">
      <c r="A1002" s="69" t="n"/>
      <c r="B1002" s="72" t="n"/>
      <c r="C1002" s="73" t="n"/>
      <c r="D1002" s="69" t="n"/>
      <c r="E1002" s="73" t="n"/>
      <c r="F1002" s="69" t="n"/>
      <c r="G1002" s="69" t="n"/>
    </row>
    <row r="1003">
      <c r="A1003" s="69" t="n"/>
      <c r="B1003" s="72" t="n"/>
      <c r="C1003" s="73" t="n"/>
      <c r="D1003" s="69" t="n"/>
      <c r="E1003" s="73" t="n"/>
      <c r="F1003" s="69" t="n"/>
      <c r="G1003" s="69" t="n"/>
    </row>
    <row r="1004">
      <c r="A1004" s="69" t="n"/>
      <c r="B1004" s="72" t="n"/>
      <c r="C1004" s="73" t="n"/>
      <c r="D1004" s="69" t="n"/>
      <c r="E1004" s="73" t="n"/>
      <c r="F1004" s="69" t="n"/>
      <c r="G1004" s="69" t="n"/>
    </row>
    <row r="1005">
      <c r="A1005" s="69" t="n"/>
      <c r="B1005" s="72" t="n"/>
      <c r="C1005" s="73" t="n"/>
      <c r="D1005" s="69" t="n"/>
      <c r="E1005" s="73" t="n"/>
      <c r="F1005" s="69" t="n"/>
      <c r="G1005" s="69" t="n"/>
    </row>
    <row r="1006">
      <c r="A1006" s="69" t="n"/>
      <c r="B1006" s="72" t="n"/>
      <c r="C1006" s="73" t="n"/>
      <c r="D1006" s="69" t="n"/>
      <c r="E1006" s="73" t="n"/>
      <c r="F1006" s="69" t="n"/>
      <c r="G1006" s="69" t="n"/>
    </row>
    <row r="1007">
      <c r="A1007" s="69" t="n"/>
      <c r="B1007" s="72" t="n"/>
      <c r="C1007" s="73" t="n"/>
      <c r="D1007" s="69" t="n"/>
      <c r="E1007" s="73" t="n"/>
      <c r="F1007" s="69" t="n"/>
      <c r="G1007" s="69" t="n"/>
    </row>
    <row r="1008">
      <c r="A1008" s="69" t="n"/>
      <c r="B1008" s="72" t="n"/>
      <c r="C1008" s="73" t="n"/>
      <c r="D1008" s="69" t="n"/>
      <c r="E1008" s="73" t="n"/>
      <c r="F1008" s="69" t="n"/>
      <c r="G1008" s="69" t="n"/>
    </row>
    <row r="1009">
      <c r="A1009" s="69" t="n"/>
      <c r="B1009" s="72" t="n"/>
      <c r="C1009" s="73" t="n"/>
      <c r="D1009" s="69" t="n"/>
      <c r="E1009" s="73" t="n"/>
      <c r="F1009" s="69" t="n"/>
      <c r="G1009" s="69" t="n"/>
    </row>
    <row r="1010">
      <c r="A1010" s="69" t="n"/>
      <c r="B1010" s="72" t="n"/>
      <c r="C1010" s="73" t="n"/>
      <c r="D1010" s="69" t="n"/>
      <c r="E1010" s="73" t="n"/>
      <c r="F1010" s="69" t="n"/>
      <c r="G1010" s="69" t="n"/>
    </row>
    <row r="1011">
      <c r="A1011" s="69" t="n"/>
      <c r="B1011" s="72" t="n"/>
      <c r="C1011" s="73" t="n"/>
      <c r="D1011" s="69" t="n"/>
      <c r="E1011" s="73" t="n"/>
      <c r="F1011" s="69" t="n"/>
      <c r="G1011" s="69" t="n"/>
    </row>
    <row r="1012">
      <c r="A1012" s="69" t="n"/>
      <c r="B1012" s="72" t="n"/>
      <c r="C1012" s="73" t="n"/>
      <c r="D1012" s="69" t="n"/>
      <c r="E1012" s="73" t="n"/>
      <c r="F1012" s="69" t="n"/>
      <c r="G1012" s="69" t="n"/>
    </row>
    <row r="1013">
      <c r="A1013" s="69" t="n"/>
      <c r="B1013" s="72" t="n"/>
      <c r="C1013" s="73" t="n"/>
      <c r="D1013" s="69" t="n"/>
      <c r="E1013" s="73" t="n"/>
      <c r="F1013" s="69" t="n"/>
      <c r="G1013" s="69" t="n"/>
    </row>
    <row r="1014">
      <c r="A1014" s="69" t="n"/>
      <c r="B1014" s="72" t="n"/>
      <c r="C1014" s="73" t="n"/>
      <c r="D1014" s="69" t="n"/>
      <c r="E1014" s="73" t="n"/>
      <c r="F1014" s="69" t="n"/>
      <c r="G1014" s="69" t="n"/>
    </row>
    <row r="1015">
      <c r="A1015" s="69" t="n"/>
      <c r="B1015" s="72" t="n"/>
      <c r="C1015" s="73" t="n"/>
      <c r="D1015" s="69" t="n"/>
      <c r="E1015" s="73" t="n"/>
      <c r="F1015" s="69" t="n"/>
      <c r="G1015" s="69" t="n"/>
    </row>
    <row r="1016">
      <c r="A1016" s="69" t="n"/>
      <c r="B1016" s="72" t="n"/>
      <c r="C1016" s="73" t="n"/>
      <c r="D1016" s="69" t="n"/>
      <c r="E1016" s="73" t="n"/>
      <c r="F1016" s="69" t="n"/>
      <c r="G1016" s="69" t="n"/>
    </row>
    <row r="1017">
      <c r="A1017" s="69" t="n"/>
      <c r="B1017" s="72" t="n"/>
      <c r="C1017" s="73" t="n"/>
      <c r="D1017" s="69" t="n"/>
      <c r="E1017" s="73" t="n"/>
      <c r="F1017" s="69" t="n"/>
      <c r="G1017" s="69" t="n"/>
    </row>
    <row r="1018">
      <c r="A1018" s="69" t="n"/>
      <c r="B1018" s="72" t="n"/>
      <c r="C1018" s="73" t="n"/>
      <c r="D1018" s="69" t="n"/>
      <c r="E1018" s="73" t="n"/>
      <c r="F1018" s="69" t="n"/>
      <c r="G1018" s="69" t="n"/>
    </row>
    <row r="1019">
      <c r="A1019" s="69" t="n"/>
      <c r="B1019" s="72" t="n"/>
      <c r="C1019" s="73" t="n"/>
      <c r="D1019" s="69" t="n"/>
      <c r="E1019" s="73" t="n"/>
      <c r="F1019" s="69" t="n"/>
      <c r="G1019" s="69" t="n"/>
    </row>
    <row r="1020">
      <c r="A1020" s="69" t="n"/>
      <c r="B1020" s="72" t="n"/>
      <c r="C1020" s="73" t="n"/>
      <c r="D1020" s="69" t="n"/>
      <c r="E1020" s="73" t="n"/>
      <c r="F1020" s="69" t="n"/>
      <c r="G1020" s="69" t="n"/>
    </row>
    <row r="1021">
      <c r="A1021" s="69" t="n"/>
      <c r="B1021" s="72" t="n"/>
      <c r="C1021" s="73" t="n"/>
      <c r="D1021" s="69" t="n"/>
      <c r="E1021" s="73" t="n"/>
      <c r="F1021" s="69" t="n"/>
      <c r="G1021" s="69" t="n"/>
    </row>
    <row r="1022">
      <c r="A1022" s="69" t="n"/>
      <c r="B1022" s="72" t="n"/>
      <c r="C1022" s="73" t="n"/>
      <c r="D1022" s="69" t="n"/>
      <c r="E1022" s="73" t="n"/>
      <c r="F1022" s="69" t="n"/>
      <c r="G1022" s="69" t="n"/>
    </row>
    <row r="1023">
      <c r="A1023" s="69" t="n"/>
      <c r="B1023" s="72" t="n"/>
      <c r="C1023" s="73" t="n"/>
      <c r="D1023" s="69" t="n"/>
      <c r="E1023" s="73" t="n"/>
      <c r="F1023" s="69" t="n"/>
      <c r="G1023" s="69" t="n"/>
    </row>
    <row r="1024">
      <c r="A1024" s="69" t="n"/>
      <c r="B1024" s="72" t="n"/>
      <c r="C1024" s="73" t="n"/>
      <c r="D1024" s="69" t="n"/>
      <c r="E1024" s="73" t="n"/>
      <c r="F1024" s="69" t="n"/>
      <c r="G1024" s="69" t="n"/>
    </row>
    <row r="1025">
      <c r="A1025" s="69" t="n"/>
      <c r="B1025" s="72" t="n"/>
      <c r="C1025" s="73" t="n"/>
      <c r="D1025" s="69" t="n"/>
      <c r="E1025" s="73" t="n"/>
      <c r="F1025" s="69" t="n"/>
      <c r="G1025" s="69" t="n"/>
    </row>
    <row r="1026">
      <c r="A1026" s="69" t="n"/>
      <c r="B1026" s="72" t="n"/>
      <c r="C1026" s="73" t="n"/>
      <c r="D1026" s="69" t="n"/>
      <c r="E1026" s="73" t="n"/>
      <c r="F1026" s="69" t="n"/>
      <c r="G1026" s="69" t="n"/>
    </row>
    <row r="1027">
      <c r="A1027" s="69" t="n"/>
      <c r="B1027" s="72" t="n"/>
      <c r="C1027" s="73" t="n"/>
      <c r="D1027" s="69" t="n"/>
      <c r="E1027" s="73" t="n"/>
      <c r="F1027" s="69" t="n"/>
      <c r="G1027" s="69" t="n"/>
    </row>
    <row r="1028">
      <c r="A1028" s="69" t="n"/>
      <c r="B1028" s="72" t="n"/>
      <c r="C1028" s="73" t="n"/>
      <c r="D1028" s="69" t="n"/>
      <c r="E1028" s="73" t="n"/>
      <c r="F1028" s="69" t="n"/>
      <c r="G1028" s="69" t="n"/>
    </row>
    <row r="1029">
      <c r="A1029" s="69" t="n"/>
      <c r="B1029" s="72" t="n"/>
      <c r="C1029" s="73" t="n"/>
      <c r="D1029" s="69" t="n"/>
      <c r="E1029" s="73" t="n"/>
      <c r="F1029" s="69" t="n"/>
      <c r="G1029" s="69" t="n"/>
    </row>
    <row r="1030">
      <c r="A1030" s="69" t="n"/>
      <c r="B1030" s="72" t="n"/>
      <c r="C1030" s="73" t="n"/>
      <c r="D1030" s="69" t="n"/>
      <c r="E1030" s="73" t="n"/>
      <c r="F1030" s="69" t="n"/>
      <c r="G1030" s="69" t="n"/>
    </row>
    <row r="1031">
      <c r="A1031" s="69" t="n"/>
      <c r="B1031" s="72" t="n"/>
      <c r="C1031" s="73" t="n"/>
      <c r="D1031" s="69" t="n"/>
      <c r="E1031" s="73" t="n"/>
      <c r="F1031" s="69" t="n"/>
      <c r="G1031" s="69" t="n"/>
    </row>
    <row r="1032">
      <c r="A1032" s="69" t="n"/>
      <c r="B1032" s="72" t="n"/>
      <c r="C1032" s="73" t="n"/>
      <c r="D1032" s="69" t="n"/>
      <c r="E1032" s="73" t="n"/>
      <c r="F1032" s="69" t="n"/>
      <c r="G1032" s="69" t="n"/>
    </row>
    <row r="1033">
      <c r="A1033" s="69" t="n"/>
      <c r="B1033" s="72" t="n"/>
      <c r="C1033" s="73" t="n"/>
      <c r="D1033" s="69" t="n"/>
      <c r="E1033" s="73" t="n"/>
      <c r="F1033" s="69" t="n"/>
      <c r="G1033" s="69" t="n"/>
    </row>
    <row r="1034">
      <c r="A1034" s="69" t="n"/>
      <c r="B1034" s="72" t="n"/>
      <c r="C1034" s="73" t="n"/>
      <c r="D1034" s="69" t="n"/>
      <c r="E1034" s="73" t="n"/>
      <c r="F1034" s="69" t="n"/>
      <c r="G1034" s="69" t="n"/>
    </row>
    <row r="1035">
      <c r="A1035" s="69" t="n"/>
      <c r="B1035" s="72" t="n"/>
      <c r="C1035" s="73" t="n"/>
      <c r="D1035" s="69" t="n"/>
      <c r="E1035" s="73" t="n"/>
      <c r="F1035" s="69" t="n"/>
      <c r="G1035" s="69" t="n"/>
    </row>
    <row r="1036">
      <c r="A1036" s="69" t="n"/>
      <c r="B1036" s="72" t="n"/>
      <c r="C1036" s="73" t="n"/>
      <c r="D1036" s="69" t="n"/>
      <c r="E1036" s="73" t="n"/>
      <c r="F1036" s="69" t="n"/>
      <c r="G1036" s="69" t="n"/>
    </row>
    <row r="1037">
      <c r="A1037" s="69" t="n"/>
      <c r="B1037" s="72" t="n"/>
      <c r="C1037" s="73" t="n"/>
      <c r="D1037" s="69" t="n"/>
      <c r="E1037" s="73" t="n"/>
      <c r="F1037" s="69" t="n"/>
      <c r="G1037" s="69" t="n"/>
    </row>
    <row r="1038">
      <c r="A1038" s="69" t="n"/>
      <c r="B1038" s="72" t="n"/>
      <c r="C1038" s="73" t="n"/>
      <c r="D1038" s="69" t="n"/>
      <c r="E1038" s="73" t="n"/>
      <c r="F1038" s="69" t="n"/>
      <c r="G1038" s="69" t="n"/>
    </row>
    <row r="1039">
      <c r="A1039" s="69" t="n"/>
      <c r="B1039" s="72" t="n"/>
      <c r="C1039" s="73" t="n"/>
      <c r="D1039" s="69" t="n"/>
      <c r="E1039" s="73" t="n"/>
      <c r="F1039" s="69" t="n"/>
      <c r="G1039" s="69" t="n"/>
    </row>
    <row r="1040">
      <c r="A1040" s="69" t="n"/>
      <c r="B1040" s="72" t="n"/>
      <c r="C1040" s="73" t="n"/>
      <c r="D1040" s="69" t="n"/>
      <c r="E1040" s="73" t="n"/>
      <c r="F1040" s="69" t="n"/>
      <c r="G1040" s="69" t="n"/>
    </row>
    <row r="1041">
      <c r="A1041" s="69" t="n"/>
      <c r="B1041" s="72" t="n"/>
      <c r="C1041" s="73" t="n"/>
      <c r="D1041" s="69" t="n"/>
      <c r="E1041" s="73" t="n"/>
      <c r="F1041" s="69" t="n"/>
      <c r="G1041" s="69" t="n"/>
    </row>
    <row r="1042">
      <c r="A1042" s="69" t="n"/>
      <c r="B1042" s="72" t="n"/>
      <c r="C1042" s="73" t="n"/>
      <c r="D1042" s="69" t="n"/>
      <c r="E1042" s="73" t="n"/>
      <c r="F1042" s="69" t="n"/>
      <c r="G1042" s="69" t="n"/>
    </row>
    <row r="1043">
      <c r="A1043" s="69" t="n"/>
      <c r="B1043" s="72" t="n"/>
      <c r="C1043" s="73" t="n"/>
      <c r="D1043" s="69" t="n"/>
      <c r="E1043" s="73" t="n"/>
      <c r="F1043" s="69" t="n"/>
      <c r="G1043" s="69" t="n"/>
    </row>
    <row r="1044">
      <c r="A1044" s="69" t="n"/>
      <c r="B1044" s="72" t="n"/>
      <c r="C1044" s="73" t="n"/>
      <c r="D1044" s="69" t="n"/>
      <c r="E1044" s="73" t="n"/>
      <c r="F1044" s="69" t="n"/>
      <c r="G1044" s="69" t="n"/>
    </row>
    <row r="1045">
      <c r="A1045" s="69" t="n"/>
      <c r="B1045" s="72" t="n"/>
      <c r="C1045" s="73" t="n"/>
      <c r="D1045" s="69" t="n"/>
      <c r="E1045" s="73" t="n"/>
      <c r="F1045" s="69" t="n"/>
      <c r="G1045" s="69" t="n"/>
    </row>
    <row r="1046">
      <c r="A1046" s="69" t="n"/>
      <c r="B1046" s="72" t="n"/>
      <c r="C1046" s="73" t="n"/>
      <c r="D1046" s="69" t="n"/>
      <c r="E1046" s="73" t="n"/>
      <c r="F1046" s="69" t="n"/>
      <c r="G1046" s="69" t="n"/>
    </row>
    <row r="1047">
      <c r="A1047" s="69" t="n"/>
      <c r="B1047" s="72" t="n"/>
      <c r="C1047" s="73" t="n"/>
      <c r="D1047" s="69" t="n"/>
      <c r="E1047" s="73" t="n"/>
      <c r="F1047" s="69" t="n"/>
      <c r="G1047" s="69" t="n"/>
    </row>
    <row r="1048">
      <c r="A1048" s="69" t="n"/>
      <c r="B1048" s="72" t="n"/>
      <c r="C1048" s="73" t="n"/>
      <c r="D1048" s="69" t="n"/>
      <c r="E1048" s="73" t="n"/>
      <c r="F1048" s="69" t="n"/>
      <c r="G1048" s="69" t="n"/>
    </row>
    <row r="1049">
      <c r="A1049" s="69" t="n"/>
      <c r="B1049" s="72" t="n"/>
      <c r="C1049" s="73" t="n"/>
      <c r="D1049" s="69" t="n"/>
      <c r="E1049" s="73" t="n"/>
      <c r="F1049" s="69" t="n"/>
      <c r="G1049" s="69" t="n"/>
    </row>
    <row r="1050">
      <c r="A1050" s="69" t="n"/>
      <c r="B1050" s="72" t="n"/>
      <c r="C1050" s="73" t="n"/>
      <c r="D1050" s="69" t="n"/>
      <c r="E1050" s="73" t="n"/>
      <c r="F1050" s="69" t="n"/>
      <c r="G1050" s="69" t="n"/>
    </row>
    <row r="1051">
      <c r="A1051" s="69" t="n"/>
      <c r="B1051" s="72" t="n"/>
      <c r="C1051" s="73" t="n"/>
      <c r="D1051" s="69" t="n"/>
      <c r="E1051" s="73" t="n"/>
      <c r="F1051" s="69" t="n"/>
      <c r="G1051" s="69" t="n"/>
    </row>
    <row r="1052">
      <c r="A1052" s="69" t="n"/>
      <c r="B1052" s="72" t="n"/>
      <c r="C1052" s="73" t="n"/>
      <c r="D1052" s="69" t="n"/>
      <c r="E1052" s="73" t="n"/>
      <c r="F1052" s="69" t="n"/>
      <c r="G1052" s="69" t="n"/>
    </row>
    <row r="1053">
      <c r="A1053" s="69" t="n"/>
      <c r="B1053" s="72" t="n"/>
      <c r="C1053" s="73" t="n"/>
      <c r="D1053" s="69" t="n"/>
      <c r="E1053" s="73" t="n"/>
      <c r="F1053" s="69" t="n"/>
      <c r="G1053" s="69" t="n"/>
    </row>
    <row r="1054">
      <c r="A1054" s="69" t="n"/>
      <c r="B1054" s="72" t="n"/>
      <c r="C1054" s="73" t="n"/>
      <c r="D1054" s="69" t="n"/>
      <c r="E1054" s="73" t="n"/>
      <c r="F1054" s="69" t="n"/>
      <c r="G1054" s="69" t="n"/>
    </row>
    <row r="1055">
      <c r="A1055" s="69" t="n"/>
      <c r="B1055" s="72" t="n"/>
      <c r="C1055" s="73" t="n"/>
      <c r="D1055" s="69" t="n"/>
      <c r="E1055" s="73" t="n"/>
      <c r="F1055" s="69" t="n"/>
      <c r="G1055" s="69" t="n"/>
    </row>
    <row r="1056">
      <c r="A1056" s="69" t="n"/>
      <c r="B1056" s="72" t="n"/>
      <c r="C1056" s="73" t="n"/>
      <c r="D1056" s="69" t="n"/>
      <c r="E1056" s="73" t="n"/>
      <c r="F1056" s="69" t="n"/>
      <c r="G1056" s="69" t="n"/>
    </row>
    <row r="1057">
      <c r="A1057" s="69" t="n"/>
      <c r="B1057" s="72" t="n"/>
      <c r="C1057" s="73" t="n"/>
      <c r="D1057" s="69" t="n"/>
      <c r="E1057" s="73" t="n"/>
      <c r="F1057" s="69" t="n"/>
      <c r="G1057" s="69" t="n"/>
    </row>
    <row r="1058">
      <c r="A1058" s="69" t="n"/>
      <c r="B1058" s="72" t="n"/>
      <c r="C1058" s="73" t="n"/>
      <c r="D1058" s="69" t="n"/>
      <c r="E1058" s="73" t="n"/>
      <c r="F1058" s="69" t="n"/>
      <c r="G1058" s="69" t="n"/>
    </row>
    <row r="1059">
      <c r="A1059" s="69" t="n"/>
      <c r="B1059" s="72" t="n"/>
      <c r="C1059" s="73" t="n"/>
      <c r="D1059" s="69" t="n"/>
      <c r="E1059" s="73" t="n"/>
      <c r="F1059" s="69" t="n"/>
      <c r="G1059" s="69" t="n"/>
    </row>
    <row r="1060">
      <c r="A1060" s="69" t="n"/>
      <c r="B1060" s="72" t="n"/>
      <c r="C1060" s="73" t="n"/>
      <c r="D1060" s="69" t="n"/>
      <c r="E1060" s="73" t="n"/>
      <c r="F1060" s="69" t="n"/>
      <c r="G1060" s="69" t="n"/>
    </row>
    <row r="1061">
      <c r="A1061" s="69" t="n"/>
      <c r="B1061" s="72" t="n"/>
      <c r="C1061" s="73" t="n"/>
      <c r="D1061" s="69" t="n"/>
      <c r="E1061" s="73" t="n"/>
      <c r="F1061" s="69" t="n"/>
      <c r="G1061" s="69" t="n"/>
    </row>
    <row r="1062">
      <c r="A1062" s="69" t="n"/>
      <c r="B1062" s="72" t="n"/>
      <c r="C1062" s="73" t="n"/>
      <c r="D1062" s="69" t="n"/>
      <c r="E1062" s="73" t="n"/>
      <c r="F1062" s="69" t="n"/>
      <c r="G1062" s="69" t="n"/>
    </row>
    <row r="1063">
      <c r="A1063" s="69" t="n"/>
      <c r="B1063" s="72" t="n"/>
      <c r="C1063" s="73" t="n"/>
      <c r="D1063" s="69" t="n"/>
      <c r="E1063" s="73" t="n"/>
      <c r="F1063" s="69" t="n"/>
      <c r="G1063" s="69" t="n"/>
    </row>
    <row r="1064">
      <c r="A1064" s="69" t="n"/>
      <c r="B1064" s="72" t="n"/>
      <c r="C1064" s="73" t="n"/>
      <c r="D1064" s="69" t="n"/>
      <c r="E1064" s="73" t="n"/>
      <c r="F1064" s="69" t="n"/>
      <c r="G1064" s="69" t="n"/>
    </row>
    <row r="1065">
      <c r="A1065" s="69" t="n"/>
      <c r="B1065" s="72" t="n"/>
      <c r="C1065" s="73" t="n"/>
      <c r="D1065" s="69" t="n"/>
      <c r="E1065" s="73" t="n"/>
      <c r="F1065" s="69" t="n"/>
      <c r="G1065" s="69" t="n"/>
    </row>
    <row r="1066">
      <c r="A1066" s="69" t="n"/>
      <c r="B1066" s="72" t="n"/>
      <c r="C1066" s="73" t="n"/>
      <c r="D1066" s="69" t="n"/>
      <c r="E1066" s="73" t="n"/>
      <c r="F1066" s="69" t="n"/>
      <c r="G1066" s="69" t="n"/>
    </row>
    <row r="1067">
      <c r="A1067" s="69" t="n"/>
      <c r="B1067" s="72" t="n"/>
      <c r="C1067" s="73" t="n"/>
      <c r="D1067" s="69" t="n"/>
      <c r="E1067" s="73" t="n"/>
      <c r="F1067" s="69" t="n"/>
      <c r="G1067" s="69" t="n"/>
    </row>
    <row r="1068">
      <c r="A1068" s="69" t="n"/>
      <c r="B1068" s="72" t="n"/>
      <c r="C1068" s="73" t="n"/>
      <c r="D1068" s="69" t="n"/>
      <c r="E1068" s="73" t="n"/>
      <c r="F1068" s="69" t="n"/>
      <c r="G1068" s="69" t="n"/>
    </row>
    <row r="1069">
      <c r="A1069" s="69" t="n"/>
      <c r="B1069" s="72" t="n"/>
      <c r="C1069" s="73" t="n"/>
      <c r="D1069" s="69" t="n"/>
      <c r="E1069" s="73" t="n"/>
      <c r="F1069" s="69" t="n"/>
      <c r="G1069" s="69" t="n"/>
    </row>
    <row r="1070">
      <c r="A1070" s="69" t="n"/>
      <c r="B1070" s="72" t="n"/>
      <c r="C1070" s="73" t="n"/>
      <c r="D1070" s="69" t="n"/>
      <c r="E1070" s="73" t="n"/>
      <c r="F1070" s="69" t="n"/>
      <c r="G1070" s="69" t="n"/>
    </row>
    <row r="1071">
      <c r="A1071" s="69" t="n"/>
      <c r="B1071" s="72" t="n"/>
      <c r="C1071" s="73" t="n"/>
      <c r="D1071" s="69" t="n"/>
      <c r="E1071" s="73" t="n"/>
      <c r="F1071" s="69" t="n"/>
      <c r="G1071" s="69" t="n"/>
    </row>
    <row r="1072">
      <c r="A1072" s="69" t="n"/>
      <c r="B1072" s="72" t="n"/>
      <c r="C1072" s="73" t="n"/>
      <c r="D1072" s="69" t="n"/>
      <c r="E1072" s="73" t="n"/>
      <c r="F1072" s="69" t="n"/>
      <c r="G1072" s="69" t="n"/>
    </row>
    <row r="1073">
      <c r="A1073" s="69" t="n"/>
      <c r="B1073" s="72" t="n"/>
      <c r="C1073" s="73" t="n"/>
      <c r="D1073" s="69" t="n"/>
      <c r="E1073" s="73" t="n"/>
      <c r="F1073" s="69" t="n"/>
      <c r="G1073" s="69" t="n"/>
    </row>
    <row r="1074">
      <c r="A1074" s="69" t="n"/>
      <c r="B1074" s="72" t="n"/>
      <c r="C1074" s="73" t="n"/>
      <c r="D1074" s="69" t="n"/>
      <c r="E1074" s="73" t="n"/>
      <c r="F1074" s="69" t="n"/>
      <c r="G1074" s="69" t="n"/>
    </row>
    <row r="1075">
      <c r="A1075" s="69" t="n"/>
      <c r="B1075" s="72" t="n"/>
      <c r="C1075" s="73" t="n"/>
      <c r="D1075" s="69" t="n"/>
      <c r="E1075" s="73" t="n"/>
      <c r="F1075" s="69" t="n"/>
      <c r="G1075" s="69" t="n"/>
    </row>
    <row r="1076">
      <c r="A1076" s="69" t="n"/>
      <c r="B1076" s="72" t="n"/>
      <c r="C1076" s="73" t="n"/>
      <c r="D1076" s="69" t="n"/>
      <c r="E1076" s="73" t="n"/>
      <c r="F1076" s="69" t="n"/>
      <c r="G1076" s="69" t="n"/>
    </row>
    <row r="1077">
      <c r="A1077" s="69" t="n"/>
      <c r="B1077" s="72" t="n"/>
      <c r="C1077" s="73" t="n"/>
      <c r="D1077" s="69" t="n"/>
      <c r="E1077" s="73" t="n"/>
      <c r="F1077" s="69" t="n"/>
      <c r="G1077" s="69" t="n"/>
    </row>
    <row r="1078">
      <c r="A1078" s="69" t="n"/>
      <c r="B1078" s="72" t="n"/>
      <c r="C1078" s="73" t="n"/>
      <c r="D1078" s="69" t="n"/>
      <c r="E1078" s="73" t="n"/>
      <c r="F1078" s="69" t="n"/>
      <c r="G1078" s="69" t="n"/>
    </row>
    <row r="1079">
      <c r="A1079" s="69" t="n"/>
      <c r="B1079" s="72" t="n"/>
      <c r="C1079" s="73" t="n"/>
      <c r="D1079" s="69" t="n"/>
      <c r="E1079" s="73" t="n"/>
      <c r="F1079" s="69" t="n"/>
      <c r="G1079" s="69" t="n"/>
    </row>
    <row r="1080">
      <c r="A1080" s="69" t="n"/>
      <c r="B1080" s="72" t="n"/>
      <c r="C1080" s="73" t="n"/>
      <c r="D1080" s="69" t="n"/>
      <c r="E1080" s="73" t="n"/>
      <c r="F1080" s="69" t="n"/>
      <c r="G1080" s="69" t="n"/>
    </row>
    <row r="1081">
      <c r="A1081" s="69" t="n"/>
      <c r="B1081" s="72" t="n"/>
      <c r="C1081" s="73" t="n"/>
      <c r="D1081" s="69" t="n"/>
      <c r="E1081" s="73" t="n"/>
      <c r="F1081" s="69" t="n"/>
      <c r="G1081" s="69" t="n"/>
    </row>
    <row r="1082">
      <c r="A1082" s="69" t="n"/>
      <c r="B1082" s="72" t="n"/>
      <c r="C1082" s="73" t="n"/>
      <c r="D1082" s="69" t="n"/>
      <c r="E1082" s="73" t="n"/>
      <c r="F1082" s="69" t="n"/>
      <c r="G1082" s="69" t="n"/>
    </row>
    <row r="1083">
      <c r="A1083" s="69" t="n"/>
      <c r="B1083" s="72" t="n"/>
      <c r="C1083" s="73" t="n"/>
      <c r="D1083" s="69" t="n"/>
      <c r="E1083" s="73" t="n"/>
      <c r="F1083" s="69" t="n"/>
      <c r="G1083" s="69" t="n"/>
    </row>
    <row r="1084">
      <c r="A1084" s="69" t="n"/>
      <c r="B1084" s="72" t="n"/>
      <c r="C1084" s="73" t="n"/>
      <c r="D1084" s="69" t="n"/>
      <c r="E1084" s="73" t="n"/>
      <c r="F1084" s="69" t="n"/>
      <c r="G1084" s="69" t="n"/>
    </row>
    <row r="1085">
      <c r="A1085" s="69" t="n"/>
      <c r="B1085" s="72" t="n"/>
      <c r="C1085" s="73" t="n"/>
      <c r="D1085" s="69" t="n"/>
      <c r="E1085" s="73" t="n"/>
      <c r="F1085" s="69" t="n"/>
      <c r="G1085" s="69" t="n"/>
    </row>
    <row r="1086">
      <c r="A1086" s="69" t="n"/>
      <c r="B1086" s="72" t="n"/>
      <c r="C1086" s="73" t="n"/>
      <c r="D1086" s="69" t="n"/>
      <c r="E1086" s="73" t="n"/>
      <c r="F1086" s="69" t="n"/>
      <c r="G1086" s="69" t="n"/>
    </row>
    <row r="1087">
      <c r="A1087" s="69" t="n"/>
      <c r="B1087" s="72" t="n"/>
      <c r="C1087" s="73" t="n"/>
      <c r="D1087" s="69" t="n"/>
      <c r="E1087" s="73" t="n"/>
      <c r="F1087" s="69" t="n"/>
      <c r="G1087" s="69" t="n"/>
    </row>
    <row r="1088">
      <c r="A1088" s="69" t="n"/>
      <c r="B1088" s="72" t="n"/>
      <c r="C1088" s="73" t="n"/>
      <c r="D1088" s="69" t="n"/>
      <c r="E1088" s="73" t="n"/>
      <c r="F1088" s="69" t="n"/>
      <c r="G1088" s="69" t="n"/>
    </row>
    <row r="1089">
      <c r="A1089" s="69" t="n"/>
      <c r="B1089" s="72" t="n"/>
      <c r="C1089" s="73" t="n"/>
      <c r="D1089" s="69" t="n"/>
      <c r="E1089" s="73" t="n"/>
      <c r="F1089" s="69" t="n"/>
      <c r="G1089" s="69" t="n"/>
    </row>
    <row r="1090">
      <c r="A1090" s="69" t="n"/>
      <c r="B1090" s="72" t="n"/>
      <c r="C1090" s="73" t="n"/>
      <c r="D1090" s="69" t="n"/>
      <c r="E1090" s="73" t="n"/>
      <c r="F1090" s="69" t="n"/>
      <c r="G1090" s="69" t="n"/>
    </row>
    <row r="1091">
      <c r="A1091" s="69" t="n"/>
      <c r="B1091" s="72" t="n"/>
      <c r="C1091" s="73" t="n"/>
      <c r="D1091" s="69" t="n"/>
      <c r="E1091" s="73" t="n"/>
      <c r="F1091" s="69" t="n"/>
      <c r="G1091" s="69" t="n"/>
    </row>
    <row r="1092">
      <c r="A1092" s="69" t="n"/>
      <c r="B1092" s="72" t="n"/>
      <c r="C1092" s="73" t="n"/>
      <c r="D1092" s="69" t="n"/>
      <c r="E1092" s="73" t="n"/>
      <c r="F1092" s="69" t="n"/>
      <c r="G1092" s="69" t="n"/>
    </row>
    <row r="1093">
      <c r="A1093" s="69" t="n"/>
      <c r="B1093" s="72" t="n"/>
      <c r="C1093" s="73" t="n"/>
      <c r="D1093" s="69" t="n"/>
      <c r="E1093" s="73" t="n"/>
      <c r="F1093" s="69" t="n"/>
      <c r="G1093" s="69" t="n"/>
    </row>
    <row r="1094">
      <c r="A1094" s="69" t="n"/>
      <c r="B1094" s="72" t="n"/>
      <c r="C1094" s="73" t="n"/>
      <c r="D1094" s="69" t="n"/>
      <c r="E1094" s="73" t="n"/>
      <c r="F1094" s="69" t="n"/>
      <c r="G1094" s="69" t="n"/>
    </row>
    <row r="1095">
      <c r="A1095" s="69" t="n"/>
      <c r="B1095" s="72" t="n"/>
      <c r="C1095" s="73" t="n"/>
      <c r="D1095" s="69" t="n"/>
      <c r="E1095" s="73" t="n"/>
      <c r="F1095" s="69" t="n"/>
      <c r="G1095" s="69" t="n"/>
    </row>
    <row r="1096">
      <c r="A1096" s="69" t="n"/>
      <c r="B1096" s="72" t="n"/>
      <c r="C1096" s="73" t="n"/>
      <c r="D1096" s="69" t="n"/>
      <c r="E1096" s="73" t="n"/>
      <c r="F1096" s="69" t="n"/>
      <c r="G1096" s="69" t="n"/>
    </row>
    <row r="1097">
      <c r="A1097" s="69" t="n"/>
      <c r="B1097" s="72" t="n"/>
      <c r="C1097" s="73" t="n"/>
      <c r="D1097" s="69" t="n"/>
      <c r="E1097" s="73" t="n"/>
      <c r="F1097" s="69" t="n"/>
      <c r="G1097" s="69" t="n"/>
    </row>
    <row r="1098">
      <c r="A1098" s="69" t="n"/>
      <c r="B1098" s="72" t="n"/>
      <c r="C1098" s="73" t="n"/>
      <c r="D1098" s="69" t="n"/>
      <c r="E1098" s="73" t="n"/>
      <c r="F1098" s="69" t="n"/>
      <c r="G1098" s="69" t="n"/>
    </row>
    <row r="1099">
      <c r="A1099" s="69" t="n"/>
      <c r="B1099" s="72" t="n"/>
      <c r="C1099" s="73" t="n"/>
      <c r="D1099" s="69" t="n"/>
      <c r="E1099" s="73" t="n"/>
      <c r="F1099" s="69" t="n"/>
      <c r="G1099" s="69" t="n"/>
    </row>
    <row r="1100">
      <c r="A1100" s="69" t="n"/>
      <c r="B1100" s="72" t="n"/>
      <c r="C1100" s="73" t="n"/>
      <c r="D1100" s="69" t="n"/>
      <c r="E1100" s="73" t="n"/>
      <c r="F1100" s="69" t="n"/>
      <c r="G1100" s="69" t="n"/>
    </row>
    <row r="1101">
      <c r="A1101" s="69" t="n"/>
      <c r="B1101" s="72" t="n"/>
      <c r="C1101" s="73" t="n"/>
      <c r="D1101" s="69" t="n"/>
      <c r="E1101" s="73" t="n"/>
      <c r="F1101" s="69" t="n"/>
      <c r="G1101" s="69" t="n"/>
    </row>
    <row r="1102">
      <c r="A1102" s="69" t="n"/>
      <c r="B1102" s="72" t="n"/>
      <c r="C1102" s="73" t="n"/>
      <c r="D1102" s="69" t="n"/>
      <c r="E1102" s="73" t="n"/>
      <c r="F1102" s="69" t="n"/>
      <c r="G1102" s="69" t="n"/>
    </row>
    <row r="1103">
      <c r="A1103" s="69" t="n"/>
      <c r="B1103" s="72" t="n"/>
      <c r="C1103" s="73" t="n"/>
      <c r="D1103" s="69" t="n"/>
      <c r="E1103" s="73" t="n"/>
      <c r="F1103" s="69" t="n"/>
      <c r="G1103" s="69" t="n"/>
    </row>
    <row r="1104">
      <c r="A1104" s="69" t="n"/>
      <c r="B1104" s="72" t="n"/>
      <c r="C1104" s="73" t="n"/>
      <c r="D1104" s="69" t="n"/>
      <c r="E1104" s="73" t="n"/>
      <c r="F1104" s="69" t="n"/>
      <c r="G1104" s="69" t="n"/>
    </row>
    <row r="1105">
      <c r="A1105" s="69" t="n"/>
      <c r="B1105" s="72" t="n"/>
      <c r="C1105" s="73" t="n"/>
      <c r="D1105" s="69" t="n"/>
      <c r="E1105" s="73" t="n"/>
      <c r="F1105" s="69" t="n"/>
      <c r="G1105" s="69" t="n"/>
    </row>
    <row r="1106">
      <c r="A1106" s="69" t="n"/>
      <c r="B1106" s="72" t="n"/>
      <c r="C1106" s="73" t="n"/>
      <c r="D1106" s="69" t="n"/>
      <c r="E1106" s="73" t="n"/>
      <c r="F1106" s="69" t="n"/>
      <c r="G1106" s="69" t="n"/>
    </row>
    <row r="1107">
      <c r="A1107" s="69" t="n"/>
      <c r="B1107" s="72" t="n"/>
      <c r="C1107" s="73" t="n"/>
      <c r="D1107" s="69" t="n"/>
      <c r="E1107" s="73" t="n"/>
      <c r="F1107" s="69" t="n"/>
      <c r="G1107" s="69" t="n"/>
    </row>
    <row r="1108">
      <c r="A1108" s="69" t="n"/>
      <c r="B1108" s="72" t="n"/>
      <c r="C1108" s="73" t="n"/>
      <c r="D1108" s="69" t="n"/>
      <c r="E1108" s="73" t="n"/>
      <c r="F1108" s="69" t="n"/>
      <c r="G1108" s="69" t="n"/>
    </row>
    <row r="1109">
      <c r="A1109" s="69" t="n"/>
      <c r="B1109" s="72" t="n"/>
      <c r="C1109" s="73" t="n"/>
      <c r="D1109" s="69" t="n"/>
      <c r="E1109" s="73" t="n"/>
      <c r="F1109" s="69" t="n"/>
      <c r="G1109" s="69" t="n"/>
    </row>
    <row r="1110">
      <c r="A1110" s="69" t="n"/>
      <c r="B1110" s="72" t="n"/>
      <c r="C1110" s="73" t="n"/>
      <c r="D1110" s="69" t="n"/>
      <c r="E1110" s="73" t="n"/>
      <c r="F1110" s="69" t="n"/>
      <c r="G1110" s="69" t="n"/>
    </row>
    <row r="1111">
      <c r="A1111" s="69" t="n"/>
      <c r="B1111" s="72" t="n"/>
      <c r="C1111" s="73" t="n"/>
      <c r="D1111" s="69" t="n"/>
      <c r="E1111" s="73" t="n"/>
      <c r="F1111" s="69" t="n"/>
      <c r="G1111" s="69" t="n"/>
    </row>
    <row r="1112">
      <c r="A1112" s="69" t="n"/>
      <c r="B1112" s="72" t="n"/>
      <c r="C1112" s="73" t="n"/>
      <c r="D1112" s="69" t="n"/>
      <c r="E1112" s="73" t="n"/>
      <c r="F1112" s="69" t="n"/>
      <c r="G1112" s="69" t="n"/>
    </row>
    <row r="1113">
      <c r="A1113" s="69" t="n"/>
      <c r="B1113" s="72" t="n"/>
      <c r="C1113" s="73" t="n"/>
      <c r="D1113" s="69" t="n"/>
      <c r="E1113" s="73" t="n"/>
      <c r="F1113" s="69" t="n"/>
      <c r="G1113" s="69" t="n"/>
    </row>
    <row r="1114">
      <c r="A1114" s="69" t="n"/>
      <c r="B1114" s="72" t="n"/>
      <c r="C1114" s="73" t="n"/>
      <c r="D1114" s="69" t="n"/>
      <c r="E1114" s="73" t="n"/>
      <c r="F1114" s="69" t="n"/>
      <c r="G1114" s="69" t="n"/>
    </row>
    <row r="1115">
      <c r="A1115" s="69" t="n"/>
      <c r="B1115" s="72" t="n"/>
      <c r="C1115" s="73" t="n"/>
      <c r="D1115" s="69" t="n"/>
      <c r="E1115" s="73" t="n"/>
      <c r="F1115" s="69" t="n"/>
      <c r="G1115" s="69" t="n"/>
    </row>
    <row r="1116">
      <c r="A1116" s="69" t="n"/>
      <c r="B1116" s="72" t="n"/>
      <c r="C1116" s="73" t="n"/>
      <c r="D1116" s="69" t="n"/>
      <c r="E1116" s="73" t="n"/>
      <c r="F1116" s="69" t="n"/>
      <c r="G1116" s="69" t="n"/>
    </row>
    <row r="1117">
      <c r="A1117" s="69" t="n"/>
      <c r="B1117" s="72" t="n"/>
      <c r="C1117" s="73" t="n"/>
      <c r="D1117" s="69" t="n"/>
      <c r="E1117" s="73" t="n"/>
      <c r="F1117" s="69" t="n"/>
      <c r="G1117" s="69" t="n"/>
    </row>
    <row r="1118">
      <c r="A1118" s="69" t="n"/>
      <c r="B1118" s="72" t="n"/>
      <c r="C1118" s="73" t="n"/>
      <c r="D1118" s="69" t="n"/>
      <c r="E1118" s="73" t="n"/>
      <c r="F1118" s="69" t="n"/>
      <c r="G1118" s="69" t="n"/>
    </row>
    <row r="1119">
      <c r="A1119" s="69" t="n"/>
      <c r="B1119" s="72" t="n"/>
      <c r="C1119" s="73" t="n"/>
      <c r="D1119" s="69" t="n"/>
      <c r="E1119" s="73" t="n"/>
      <c r="F1119" s="69" t="n"/>
      <c r="G1119" s="69" t="n"/>
    </row>
    <row r="1120">
      <c r="A1120" s="69" t="n"/>
      <c r="B1120" s="72" t="n"/>
      <c r="C1120" s="73" t="n"/>
      <c r="D1120" s="69" t="n"/>
      <c r="E1120" s="73" t="n"/>
      <c r="F1120" s="69" t="n"/>
      <c r="G1120" s="69" t="n"/>
    </row>
    <row r="1121">
      <c r="A1121" s="69" t="n"/>
      <c r="B1121" s="72" t="n"/>
      <c r="C1121" s="73" t="n"/>
      <c r="D1121" s="69" t="n"/>
      <c r="E1121" s="73" t="n"/>
      <c r="F1121" s="69" t="n"/>
      <c r="G1121" s="69" t="n"/>
    </row>
    <row r="1122">
      <c r="A1122" s="69" t="n"/>
      <c r="B1122" s="72" t="n"/>
      <c r="C1122" s="73" t="n"/>
      <c r="D1122" s="69" t="n"/>
      <c r="E1122" s="73" t="n"/>
      <c r="F1122" s="69" t="n"/>
      <c r="G1122" s="69" t="n"/>
    </row>
    <row r="1123">
      <c r="A1123" s="69" t="n"/>
      <c r="B1123" s="72" t="n"/>
      <c r="C1123" s="73" t="n"/>
      <c r="D1123" s="69" t="n"/>
      <c r="E1123" s="73" t="n"/>
      <c r="F1123" s="69" t="n"/>
      <c r="G1123" s="69" t="n"/>
    </row>
    <row r="1124">
      <c r="A1124" s="69" t="n"/>
      <c r="B1124" s="72" t="n"/>
      <c r="C1124" s="73" t="n"/>
      <c r="D1124" s="69" t="n"/>
      <c r="E1124" s="73" t="n"/>
      <c r="F1124" s="69" t="n"/>
      <c r="G1124" s="69" t="n"/>
    </row>
    <row r="1125">
      <c r="A1125" s="69" t="n"/>
      <c r="B1125" s="72" t="n"/>
      <c r="C1125" s="73" t="n"/>
      <c r="D1125" s="69" t="n"/>
      <c r="E1125" s="73" t="n"/>
      <c r="F1125" s="69" t="n"/>
      <c r="G1125" s="69" t="n"/>
    </row>
    <row r="1126">
      <c r="A1126" s="69" t="n"/>
      <c r="B1126" s="72" t="n"/>
      <c r="C1126" s="73" t="n"/>
      <c r="D1126" s="69" t="n"/>
      <c r="E1126" s="73" t="n"/>
      <c r="F1126" s="69" t="n"/>
      <c r="G1126" s="69" t="n"/>
    </row>
    <row r="1127">
      <c r="A1127" s="69" t="n"/>
      <c r="B1127" s="72" t="n"/>
      <c r="C1127" s="73" t="n"/>
      <c r="D1127" s="69" t="n"/>
      <c r="E1127" s="73" t="n"/>
      <c r="F1127" s="69" t="n"/>
      <c r="G1127" s="69" t="n"/>
    </row>
    <row r="1128">
      <c r="A1128" s="69" t="n"/>
      <c r="B1128" s="72" t="n"/>
      <c r="C1128" s="73" t="n"/>
      <c r="D1128" s="69" t="n"/>
      <c r="E1128" s="73" t="n"/>
      <c r="F1128" s="69" t="n"/>
      <c r="G1128" s="69" t="n"/>
    </row>
    <row r="1129">
      <c r="A1129" s="69" t="n"/>
      <c r="B1129" s="72" t="n"/>
      <c r="C1129" s="73" t="n"/>
      <c r="D1129" s="69" t="n"/>
      <c r="E1129" s="73" t="n"/>
      <c r="F1129" s="69" t="n"/>
      <c r="G1129" s="69" t="n"/>
    </row>
    <row r="1130">
      <c r="A1130" s="69" t="n"/>
      <c r="B1130" s="72" t="n"/>
      <c r="C1130" s="73" t="n"/>
      <c r="D1130" s="69" t="n"/>
      <c r="E1130" s="73" t="n"/>
      <c r="F1130" s="69" t="n"/>
      <c r="G1130" s="69" t="n"/>
    </row>
    <row r="1131">
      <c r="A1131" s="69" t="n"/>
      <c r="B1131" s="72" t="n"/>
      <c r="C1131" s="73" t="n"/>
      <c r="D1131" s="69" t="n"/>
      <c r="E1131" s="73" t="n"/>
      <c r="F1131" s="69" t="n"/>
      <c r="G1131" s="69" t="n"/>
    </row>
    <row r="1132">
      <c r="A1132" s="69" t="n"/>
      <c r="B1132" s="72" t="n"/>
      <c r="C1132" s="73" t="n"/>
      <c r="D1132" s="69" t="n"/>
      <c r="E1132" s="73" t="n"/>
      <c r="F1132" s="69" t="n"/>
      <c r="G1132" s="69" t="n"/>
    </row>
    <row r="1133">
      <c r="A1133" s="69" t="n"/>
      <c r="B1133" s="72" t="n"/>
      <c r="C1133" s="73" t="n"/>
      <c r="D1133" s="69" t="n"/>
      <c r="E1133" s="73" t="n"/>
      <c r="F1133" s="69" t="n"/>
      <c r="G1133" s="69" t="n"/>
    </row>
    <row r="1134">
      <c r="A1134" s="69" t="n"/>
      <c r="C1134" s="355" t="n"/>
      <c r="E1134" s="355" t="n"/>
    </row>
    <row r="1135">
      <c r="A1135" s="69" t="n"/>
      <c r="C1135" s="355" t="n"/>
      <c r="E1135" s="355" t="n"/>
    </row>
  </sheetData>
  <mergeCells count="24">
    <mergeCell ref="B187:E187"/>
    <mergeCell ref="B239:E239"/>
    <mergeCell ref="B8:D8"/>
    <mergeCell ref="B6:E6"/>
    <mergeCell ref="B13:D13"/>
    <mergeCell ref="B5:E5"/>
    <mergeCell ref="B222:E222"/>
    <mergeCell ref="B14:B15"/>
    <mergeCell ref="B32:E32"/>
    <mergeCell ref="B126:E126"/>
    <mergeCell ref="B113:E113"/>
    <mergeCell ref="B173:E173"/>
    <mergeCell ref="B224:E224"/>
    <mergeCell ref="B233:E233"/>
    <mergeCell ref="B39:E39"/>
    <mergeCell ref="C15:E15"/>
    <mergeCell ref="C24:E24"/>
    <mergeCell ref="B181:E181"/>
    <mergeCell ref="B23:E23"/>
    <mergeCell ref="B132:E132"/>
    <mergeCell ref="B119:E119"/>
    <mergeCell ref="D192:D195"/>
    <mergeCell ref="C25:E25"/>
    <mergeCell ref="D139:D145"/>
  </mergeCells>
  <conditionalFormatting sqref="C42:C43 E41">
    <cfRule type="notContainsBlanks" priority="1" dxfId="0">
      <formula>LEN(TRIM(E41))&gt;0</formula>
    </cfRule>
  </conditionalFormatting>
  <conditionalFormatting sqref="B6 C2:C3 C64 C71:C72 C98:C102 C115 C128 C137:C138 C189:C190 C199 C201:C204 C208">
    <cfRule type="containsBlanks" priority="2" dxfId="1">
      <formula>LEN(TRIM(C2))=0</formula>
    </cfRule>
    <cfRule type="notContainsBlanks" priority="3" dxfId="2">
      <formula>LEN(TRIM(C2))&gt;0</formula>
    </cfRule>
  </conditionalFormatting>
  <conditionalFormatting sqref="E82">
    <cfRule type="notContainsBlanks" priority="4" dxfId="0">
      <formula>LEN(TRIM(E82))&gt;0</formula>
    </cfRule>
    <cfRule type="notContainsBlanks" priority="5" dxfId="0">
      <formula>LEN(TRIM(E82))&gt;0</formula>
    </cfRule>
    <cfRule type="notContainsBlanks" priority="6" dxfId="0">
      <formula>LEN(TRIM(E82))&gt;0</formula>
    </cfRule>
  </conditionalFormatting>
  <conditionalFormatting sqref="C98:C102">
    <cfRule type="notContainsBlanks" priority="7" dxfId="3">
      <formula>LEN(TRIM(C98))&gt;0</formula>
    </cfRule>
  </conditionalFormatting>
  <conditionalFormatting sqref="C134:C136">
    <cfRule type="containsBlanks" priority="8" dxfId="1">
      <formula>LEN(TRIM(C134))=0</formula>
    </cfRule>
    <cfRule type="notContainsBlanks" priority="9" dxfId="3">
      <formula>LEN(TRIM(C134))&gt;0</formula>
    </cfRule>
  </conditionalFormatting>
  <conditionalFormatting sqref="C61">
    <cfRule type="containsBlanks" priority="10" dxfId="1">
      <formula>LEN(TRIM(C61))=0</formula>
    </cfRule>
  </conditionalFormatting>
  <dataValidations count="11">
    <dataValidation sqref="C61" showDropDown="0" showInputMessage="0" showErrorMessage="1" allowBlank="1" type="list">
      <formula1>"scale,クラフトバンクオフィス"</formula1>
    </dataValidation>
    <dataValidation sqref="C117" showDropDown="0" showInputMessage="0" showErrorMessage="1" allowBlank="1" type="list">
      <formula1>"くるみん認定,プラチナくるみん認定, トライくるみん認定 ,認定なし"</formula1>
    </dataValidation>
    <dataValidation sqref="C64" showDropDown="0" showInputMessage="0" showErrorMessage="1" allowBlank="1" type="list">
      <formula1>'プルダウン用'!$A$2:$A$13</formula1>
    </dataValidation>
    <dataValidation sqref="C112" showDropDown="0" showInputMessage="0" showErrorMessage="1" allowBlank="1" type="list">
      <formula1>"あり,なし"</formula1>
    </dataValidation>
    <dataValidation sqref="C118 C130" showDropDown="0" showInputMessage="0" showErrorMessage="1" allowBlank="1" type="list">
      <formula1>"実施している,実施していない"</formula1>
    </dataValidation>
    <dataValidation sqref="C137" showDropDown="0" showInputMessage="0" showErrorMessage="1" allowBlank="1" type="list">
      <formula1>'プルダウン用'!$C$2:$C$20</formula1>
    </dataValidation>
    <dataValidation sqref="C116" showDropDown="0" showInputMessage="0" showErrorMessage="1" allowBlank="1" type="list">
      <formula1>"えるぼし認定,プラチナえるぼし,認定なし"</formula1>
    </dataValidation>
    <dataValidation sqref="C198" showDropDown="0" showInputMessage="0" showErrorMessage="1" allowBlank="1" type="list">
      <formula1>'プルダウン用'!$B$2:$B$48</formula1>
    </dataValidation>
    <dataValidation sqref="C48 C210" showDropDown="1" showInputMessage="0" showErrorMessage="0" allowBlank="1" type="custom">
      <formula1>OR(NOT(ISERROR(DATEVALUE(C48))), AND(ISNUMBER(C48), LEFT(CELL("format", C48))="D"))</formula1>
    </dataValidation>
    <dataValidation sqref="C208 C217" showDropDown="0" showInputMessage="0" showErrorMessage="1" allowBlank="1" type="list">
      <formula1>"賃上げを行わない,＋30円,＋50円"</formula1>
    </dataValidation>
    <dataValidation sqref="C2:C3" showDropDown="0" showInputMessage="0" showErrorMessage="1" allowBlank="1" type="list">
      <formula1>"村上,土屋,坂平"</formula1>
    </dataValidation>
  </dataValidations>
  <hyperlinks>
    <hyperlink xmlns:r="http://schemas.openxmlformats.org/officeDocument/2006/relationships" ref="E9" r:id="rId1"/>
    <hyperlink xmlns:r="http://schemas.openxmlformats.org/officeDocument/2006/relationships" ref="E10" r:id="rId2"/>
    <hyperlink xmlns:r="http://schemas.openxmlformats.org/officeDocument/2006/relationships" ref="E11" r:id="rId3"/>
    <hyperlink xmlns:r="http://schemas.openxmlformats.org/officeDocument/2006/relationships" ref="D14" r:id="rId4"/>
    <hyperlink xmlns:r="http://schemas.openxmlformats.org/officeDocument/2006/relationships" ref="E14" r:id="rId5"/>
    <hyperlink xmlns:r="http://schemas.openxmlformats.org/officeDocument/2006/relationships" ref="E16" r:id="rId6"/>
    <hyperlink xmlns:r="http://schemas.openxmlformats.org/officeDocument/2006/relationships" ref="D46" r:id="rId7"/>
    <hyperlink xmlns:r="http://schemas.openxmlformats.org/officeDocument/2006/relationships" ref="D63" r:id="rId8"/>
    <hyperlink xmlns:r="http://schemas.openxmlformats.org/officeDocument/2006/relationships" ref="D189" r:id="rId9"/>
    <hyperlink xmlns:r="http://schemas.openxmlformats.org/officeDocument/2006/relationships" ref="D217" r:id="rId10"/>
    <hyperlink xmlns:r="http://schemas.openxmlformats.org/officeDocument/2006/relationships" ref="D228" r:id="rId11"/>
  </hyperlinks>
  <pageMargins left="0.75" right="0.75" top="1" bottom="1" header="0.5" footer="0.5"/>
</worksheet>
</file>

<file path=xl/worksheets/sheet3.xml><?xml version="1.0" encoding="utf-8"?>
<worksheet xmlns="http://schemas.openxmlformats.org/spreadsheetml/2006/main">
  <sheetPr>
    <tabColor rgb="FFFF9900"/>
    <outlinePr summaryBelow="0" summaryRight="0"/>
    <pageSetUpPr/>
  </sheetPr>
  <dimension ref="A2:K20"/>
  <sheetViews>
    <sheetView workbookViewId="0">
      <selection activeCell="A1" sqref="A1"/>
    </sheetView>
  </sheetViews>
  <sheetFormatPr baseColWidth="8" defaultColWidth="12.63" defaultRowHeight="15.75" customHeight="1"/>
  <cols>
    <col width="21.88" customWidth="1" style="477" min="1" max="1"/>
    <col width="14.63" customWidth="1" style="477" min="2" max="2"/>
    <col width="17.5" customWidth="1" style="477" min="3" max="3"/>
    <col width="14.63" customWidth="1" style="477" min="4" max="7"/>
  </cols>
  <sheetData>
    <row r="2" ht="26.25" customHeight="1" s="477">
      <c r="A2" s="312" t="inlineStr">
        <is>
          <t>オレンジの項目：決算書より数値を入力してください</t>
        </is>
      </c>
      <c r="D2" s="320" t="n"/>
      <c r="E2" s="320" t="n"/>
      <c r="F2" s="320" t="n"/>
      <c r="G2" s="320" t="n"/>
      <c r="H2" s="320" t="n"/>
      <c r="I2" s="320" t="n"/>
      <c r="J2" s="320" t="n"/>
      <c r="K2" s="320" t="n"/>
    </row>
    <row r="3" ht="24.75" customHeight="1" s="477">
      <c r="A3" s="314" t="inlineStr">
        <is>
          <t>【財務情報について】</t>
        </is>
      </c>
      <c r="D3" s="315" t="inlineStr">
        <is>
          <t>【人件費】</t>
        </is>
      </c>
      <c r="E3" s="169" t="n"/>
      <c r="F3" s="169" t="n"/>
      <c r="H3" s="317" t="inlineStr">
        <is>
          <t>【従業員一人当たりのおおよその給与計算】</t>
        </is>
      </c>
      <c r="I3" s="317" t="n"/>
      <c r="J3" s="317" t="n"/>
    </row>
    <row r="4" ht="18" customHeight="1" s="477">
      <c r="A4" s="318" t="n"/>
      <c r="B4" s="319" t="inlineStr">
        <is>
          <t>前事業年度</t>
        </is>
      </c>
      <c r="C4" s="320" t="n"/>
      <c r="D4" s="321" t="n"/>
      <c r="E4" s="322" t="inlineStr">
        <is>
          <t>販管費</t>
        </is>
      </c>
      <c r="F4" s="322" t="inlineStr">
        <is>
          <t>原価報告書</t>
        </is>
      </c>
      <c r="H4" s="323" t="inlineStr">
        <is>
          <t>販管費</t>
        </is>
      </c>
      <c r="I4" s="323" t="inlineStr">
        <is>
          <t>原価報告書</t>
        </is>
      </c>
      <c r="J4" s="324" t="n"/>
      <c r="K4" s="320" t="n"/>
    </row>
    <row r="5">
      <c r="A5" s="325" t="inlineStr">
        <is>
          <t>正規雇用</t>
        </is>
      </c>
      <c r="B5" s="334">
        <f>'申請内容'!C143</f>
        <v/>
      </c>
      <c r="C5" s="327" t="inlineStr">
        <is>
          <t>人</t>
        </is>
      </c>
      <c r="D5" s="328" t="inlineStr">
        <is>
          <t>給料手当</t>
        </is>
      </c>
      <c r="E5" s="372" t="n"/>
      <c r="F5" s="372" t="n"/>
      <c r="H5" s="330" t="n"/>
      <c r="I5" s="330" t="n"/>
      <c r="J5" s="323" t="inlineStr">
        <is>
          <t>←役員報酬・役員賞与など役員に関わる給与以外をコピペ</t>
        </is>
      </c>
      <c r="K5" s="320" t="n"/>
    </row>
    <row r="6">
      <c r="A6" s="331" t="inlineStr">
        <is>
          <t>契約社員</t>
        </is>
      </c>
      <c r="B6" s="334">
        <f>'申請内容'!C144</f>
        <v/>
      </c>
      <c r="C6" s="327" t="inlineStr">
        <is>
          <t>人</t>
        </is>
      </c>
      <c r="D6" s="332" t="inlineStr">
        <is>
          <t>雑給</t>
        </is>
      </c>
      <c r="E6" s="372" t="n"/>
      <c r="F6" s="372" t="n"/>
      <c r="H6" s="330" t="n"/>
      <c r="I6" s="330" t="n"/>
      <c r="J6" s="324" t="n"/>
      <c r="K6" s="320" t="n"/>
    </row>
    <row r="7">
      <c r="A7" s="331" t="inlineStr">
        <is>
          <t>パートアルバイト</t>
        </is>
      </c>
      <c r="B7" s="334">
        <f>'申請内容'!C145</f>
        <v/>
      </c>
      <c r="C7" s="327" t="inlineStr">
        <is>
          <t>人</t>
        </is>
      </c>
      <c r="D7" s="332" t="inlineStr">
        <is>
          <t>賞与手当</t>
        </is>
      </c>
      <c r="E7" s="372" t="n"/>
      <c r="F7" s="372" t="n"/>
      <c r="H7" s="330" t="n"/>
      <c r="I7" s="330" t="n"/>
      <c r="J7" s="324" t="n"/>
      <c r="K7" s="320" t="n"/>
    </row>
    <row r="8">
      <c r="A8" s="331" t="inlineStr">
        <is>
          <t>役員数</t>
        </is>
      </c>
      <c r="B8" s="334">
        <f>'申請内容'!C146</f>
        <v/>
      </c>
      <c r="C8" s="327" t="inlineStr">
        <is>
          <t>人</t>
        </is>
      </c>
      <c r="D8" s="415" t="n"/>
      <c r="E8" s="372" t="n"/>
      <c r="F8" s="372" t="n"/>
      <c r="H8" s="330" t="n"/>
      <c r="I8" s="330" t="n"/>
      <c r="J8" s="324" t="n"/>
      <c r="K8" s="320" t="n"/>
    </row>
    <row r="9">
      <c r="A9" s="331" t="inlineStr">
        <is>
          <t>年間の平均労働時間</t>
        </is>
      </c>
      <c r="B9" s="334">
        <f>'申請内容'!C147</f>
        <v/>
      </c>
      <c r="C9" s="327" t="inlineStr">
        <is>
          <t>時間</t>
        </is>
      </c>
      <c r="D9" s="335" t="inlineStr">
        <is>
          <t>旅費交通費</t>
        </is>
      </c>
      <c r="E9" s="372" t="n"/>
      <c r="F9" s="372" t="n"/>
      <c r="H9" s="330" t="n"/>
      <c r="I9" s="330" t="n"/>
      <c r="J9" s="324" t="n"/>
      <c r="K9" s="320" t="n"/>
    </row>
    <row r="10">
      <c r="A10" s="331" t="inlineStr">
        <is>
          <t>売上高</t>
        </is>
      </c>
      <c r="B10" s="372" t="n"/>
      <c r="C10" s="327" t="inlineStr">
        <is>
          <t>円</t>
        </is>
      </c>
      <c r="D10" s="337" t="inlineStr">
        <is>
          <t>合計</t>
        </is>
      </c>
      <c r="E10" s="338">
        <f>sum(E5:E9)</f>
        <v/>
      </c>
      <c r="F10" s="338">
        <f>sum(F5:F9)</f>
        <v/>
      </c>
      <c r="H10" s="339">
        <f>SUM(H5:H9)+SUM(I5:I9)</f>
        <v/>
      </c>
      <c r="J10" s="324" t="n"/>
      <c r="K10" s="320" t="n"/>
    </row>
    <row r="11">
      <c r="A11" s="331" t="inlineStr">
        <is>
          <t>粗利益</t>
        </is>
      </c>
      <c r="B11" s="372" t="n"/>
      <c r="C11" s="327" t="inlineStr">
        <is>
          <t>円</t>
        </is>
      </c>
      <c r="D11" s="340" t="inlineStr">
        <is>
          <t>人件費合計</t>
        </is>
      </c>
      <c r="E11" s="507">
        <f>sum(E10:F10)</f>
        <v/>
      </c>
      <c r="F11" s="508" t="n"/>
      <c r="H11" s="343">
        <f>H10/(B5+B6+B7)</f>
        <v/>
      </c>
      <c r="J11" s="323" t="inlineStr">
        <is>
          <t>←一人当たりの年間給与(おおよそ)</t>
        </is>
      </c>
      <c r="K11" s="320" t="n"/>
    </row>
    <row r="12">
      <c r="A12" s="331" t="inlineStr">
        <is>
          <t>営業利益</t>
        </is>
      </c>
      <c r="B12" s="372" t="n"/>
      <c r="C12" s="327" t="inlineStr">
        <is>
          <t>円</t>
        </is>
      </c>
      <c r="D12" s="344" t="n"/>
      <c r="E12" s="345" t="n"/>
      <c r="F12" s="345" t="n"/>
      <c r="H12" s="320" t="n"/>
      <c r="I12" s="320" t="n"/>
      <c r="J12" s="320" t="n"/>
      <c r="K12" s="320" t="n"/>
    </row>
    <row r="13">
      <c r="A13" s="331" t="inlineStr">
        <is>
          <t>経常利益</t>
        </is>
      </c>
      <c r="B13" s="372" t="n"/>
      <c r="C13" s="327" t="inlineStr">
        <is>
          <t>円</t>
        </is>
      </c>
      <c r="D13" s="346" t="n"/>
      <c r="G13" s="348" t="n"/>
      <c r="H13" s="348" t="n"/>
      <c r="I13" s="348" t="n"/>
      <c r="J13" s="348" t="n"/>
      <c r="K13" s="348" t="n"/>
    </row>
    <row r="14">
      <c r="A14" s="349" t="inlineStr">
        <is>
          <t>減価償却費</t>
        </is>
      </c>
      <c r="B14" s="350">
        <f>IF(E17=0,"",E17)</f>
        <v/>
      </c>
      <c r="C14" s="351" t="inlineStr">
        <is>
          <t>円</t>
        </is>
      </c>
      <c r="D14" s="169" t="n"/>
      <c r="E14" s="374" t="n"/>
      <c r="F14" s="169" t="n"/>
      <c r="G14" s="353" t="n"/>
      <c r="H14" s="354" t="n"/>
      <c r="I14" s="354" t="n"/>
      <c r="J14" s="354" t="n"/>
      <c r="K14" s="354" t="n"/>
    </row>
    <row r="15">
      <c r="D15" s="314" t="inlineStr">
        <is>
          <t>【減価償却費】</t>
        </is>
      </c>
      <c r="E15" s="374" t="n"/>
      <c r="F15" s="169" t="n"/>
      <c r="G15" s="169" t="n"/>
      <c r="H15" s="320" t="n"/>
      <c r="I15" s="320" t="n"/>
      <c r="J15" s="320" t="n"/>
      <c r="K15" s="320" t="n"/>
    </row>
    <row r="16">
      <c r="C16" s="355" t="n"/>
      <c r="D16" s="331" t="inlineStr">
        <is>
          <t>減価償却費</t>
        </is>
      </c>
      <c r="E16" s="356" t="n"/>
      <c r="F16" s="356" t="n"/>
      <c r="G16" s="169" t="n"/>
    </row>
    <row r="17">
      <c r="D17" s="357" t="inlineStr">
        <is>
          <t>合計</t>
        </is>
      </c>
      <c r="E17" s="509">
        <f>E16+F16</f>
        <v/>
      </c>
      <c r="F17" s="510" t="n"/>
      <c r="G17" s="360" t="n"/>
    </row>
    <row r="18" ht="24.75" customHeight="1" s="477">
      <c r="D18" s="361" t="n"/>
    </row>
    <row r="19">
      <c r="A19" s="454" t="n"/>
    </row>
    <row r="20">
      <c r="A20" s="320" t="n"/>
      <c r="B20" s="320" t="n"/>
      <c r="C20" s="320" t="n"/>
      <c r="D20" s="320" t="n"/>
      <c r="E20" s="320" t="n"/>
    </row>
  </sheetData>
  <mergeCells count="5">
    <mergeCell ref="H11:I11"/>
    <mergeCell ref="H10:I10"/>
    <mergeCell ref="E11:F11"/>
    <mergeCell ref="E13:F13"/>
    <mergeCell ref="E17:F17"/>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tabColor rgb="FFFF9900"/>
    <outlinePr summaryBelow="0" summaryRight="0"/>
    <pageSetUpPr/>
  </sheetPr>
  <dimension ref="A2:L27"/>
  <sheetViews>
    <sheetView workbookViewId="0">
      <selection activeCell="A1" sqref="A1"/>
    </sheetView>
  </sheetViews>
  <sheetFormatPr baseColWidth="8" defaultColWidth="12.63" defaultRowHeight="15.75" customHeight="1"/>
  <cols>
    <col width="21.88" customWidth="1" style="477" min="1" max="1"/>
    <col width="14.63" customWidth="1" style="477" min="2" max="2"/>
    <col width="17.5" customWidth="1" style="477" min="3" max="3"/>
    <col width="14.63" customWidth="1" style="477" min="4" max="7"/>
  </cols>
  <sheetData>
    <row r="2" ht="26.25" customHeight="1" s="477">
      <c r="A2" s="312" t="inlineStr">
        <is>
          <t>オレンジの項目：決算書より数値を入力してください</t>
        </is>
      </c>
      <c r="D2" s="320" t="n"/>
      <c r="E2" s="320" t="n"/>
      <c r="F2" s="320" t="n"/>
      <c r="G2" s="320" t="n"/>
      <c r="H2" s="320" t="n"/>
      <c r="I2" s="320" t="n"/>
      <c r="J2" s="320" t="n"/>
      <c r="K2" s="320" t="n"/>
    </row>
    <row r="3" ht="24.75" customHeight="1" s="477">
      <c r="A3" s="314" t="inlineStr">
        <is>
          <t>【財務情報について】</t>
        </is>
      </c>
      <c r="D3" s="314" t="inlineStr">
        <is>
          <t>【給与支給総額】</t>
        </is>
      </c>
    </row>
    <row r="4" ht="18" customHeight="1" s="477">
      <c r="A4" s="318" t="n"/>
      <c r="B4" s="319" t="inlineStr">
        <is>
          <t>前事業年度</t>
        </is>
      </c>
      <c r="C4" s="320" t="n"/>
      <c r="D4" s="318" t="n"/>
      <c r="E4" s="363" t="inlineStr">
        <is>
          <t>販管費</t>
        </is>
      </c>
      <c r="F4" s="363" t="inlineStr">
        <is>
          <t>原価報告書</t>
        </is>
      </c>
      <c r="H4" s="320" t="n"/>
      <c r="I4" s="320" t="n"/>
      <c r="J4" s="320" t="n"/>
      <c r="K4" s="320" t="n"/>
      <c r="L4" s="320" t="n"/>
    </row>
    <row r="5">
      <c r="A5" s="325" t="inlineStr">
        <is>
          <t>正規雇用</t>
        </is>
      </c>
      <c r="B5" s="334">
        <f>'申請内容'!C134</f>
        <v/>
      </c>
      <c r="C5" s="327" t="inlineStr">
        <is>
          <t>人</t>
        </is>
      </c>
      <c r="D5" s="364" t="inlineStr">
        <is>
          <t>給料手当</t>
        </is>
      </c>
      <c r="E5" s="365" t="n"/>
      <c r="F5" s="365" t="n"/>
      <c r="H5" s="320" t="n"/>
      <c r="I5" s="320" t="n"/>
      <c r="J5" s="320" t="n"/>
      <c r="K5" s="320" t="n"/>
    </row>
    <row r="6">
      <c r="A6" s="331" t="inlineStr">
        <is>
          <t>契約社員</t>
        </is>
      </c>
      <c r="B6" s="334">
        <f>'申請内容'!C135</f>
        <v/>
      </c>
      <c r="C6" s="327" t="inlineStr">
        <is>
          <t>人</t>
        </is>
      </c>
      <c r="D6" s="366" t="inlineStr">
        <is>
          <t>雑給</t>
        </is>
      </c>
      <c r="E6" s="365" t="n"/>
      <c r="F6" s="365" t="n"/>
      <c r="H6" s="320" t="n"/>
      <c r="I6" s="320" t="n"/>
      <c r="J6" s="320" t="n"/>
      <c r="K6" s="320" t="n"/>
    </row>
    <row r="7">
      <c r="A7" s="331" t="inlineStr">
        <is>
          <t>パートアルバイト</t>
        </is>
      </c>
      <c r="B7" s="334">
        <f>'申請内容'!C136</f>
        <v/>
      </c>
      <c r="C7" s="327" t="inlineStr">
        <is>
          <t>人</t>
        </is>
      </c>
      <c r="D7" s="366" t="inlineStr">
        <is>
          <t>賞与手当</t>
        </is>
      </c>
      <c r="E7" s="365" t="n"/>
      <c r="F7" s="365" t="n"/>
      <c r="H7" s="320" t="n"/>
      <c r="I7" s="320" t="n"/>
      <c r="J7" s="320" t="n"/>
      <c r="K7" s="320" t="n"/>
    </row>
    <row r="8">
      <c r="A8" s="331" t="inlineStr">
        <is>
          <t>役員数</t>
        </is>
      </c>
      <c r="B8" s="367">
        <f>'申請内容'!C71</f>
        <v/>
      </c>
      <c r="C8" s="327" t="inlineStr">
        <is>
          <t>人</t>
        </is>
      </c>
      <c r="D8" s="366" t="inlineStr">
        <is>
          <t>役員報酬</t>
        </is>
      </c>
      <c r="E8" s="365" t="n"/>
      <c r="F8" s="365" t="n"/>
      <c r="H8" s="320" t="n"/>
      <c r="I8" s="320" t="n"/>
      <c r="J8" s="320" t="n"/>
      <c r="K8" s="320" t="n"/>
    </row>
    <row r="9">
      <c r="A9" s="331" t="inlineStr">
        <is>
          <t>年間の平均労働時間</t>
        </is>
      </c>
      <c r="B9" s="334">
        <f>'申請内容'!C138</f>
        <v/>
      </c>
      <c r="C9" s="327" t="inlineStr">
        <is>
          <t>時間</t>
        </is>
      </c>
      <c r="D9" s="331" t="inlineStr">
        <is>
          <t>役員賞与</t>
        </is>
      </c>
      <c r="E9" s="365" t="n"/>
      <c r="F9" s="365" t="n"/>
      <c r="H9" s="320" t="n"/>
      <c r="I9" s="320" t="n"/>
      <c r="J9" s="320" t="n"/>
      <c r="K9" s="320" t="n"/>
    </row>
    <row r="10">
      <c r="A10" s="331" t="inlineStr">
        <is>
          <t>売上高</t>
        </is>
      </c>
      <c r="B10" s="372" t="n"/>
      <c r="C10" s="327" t="inlineStr">
        <is>
          <t>円</t>
        </is>
      </c>
      <c r="D10" s="368" t="n"/>
      <c r="E10" s="369" t="n"/>
      <c r="F10" s="370" t="n"/>
      <c r="H10" s="320" t="n"/>
      <c r="I10" s="320" t="n"/>
      <c r="J10" s="320" t="n"/>
      <c r="K10" s="320" t="n"/>
    </row>
    <row r="11">
      <c r="A11" s="331" t="inlineStr">
        <is>
          <t>粗利益</t>
        </is>
      </c>
      <c r="B11" s="372" t="n"/>
      <c r="C11" s="327" t="inlineStr">
        <is>
          <t>円</t>
        </is>
      </c>
      <c r="D11" s="368" t="n"/>
      <c r="E11" s="369" t="n"/>
      <c r="F11" s="370" t="n"/>
      <c r="H11" s="320" t="n"/>
      <c r="I11" s="320" t="n"/>
      <c r="J11" s="320" t="n"/>
      <c r="K11" s="320" t="n"/>
    </row>
    <row r="12">
      <c r="A12" s="331" t="inlineStr">
        <is>
          <t>営業利益</t>
        </is>
      </c>
      <c r="B12" s="372" t="n"/>
      <c r="C12" s="327" t="inlineStr">
        <is>
          <t>円</t>
        </is>
      </c>
      <c r="D12" s="357" t="inlineStr">
        <is>
          <t>合計</t>
        </is>
      </c>
      <c r="E12" s="371">
        <f>SUM(E5:E11)</f>
        <v/>
      </c>
      <c r="F12" s="371">
        <f>SUM(F5:F11)</f>
        <v/>
      </c>
      <c r="H12" s="320" t="n"/>
      <c r="I12" s="320" t="n"/>
      <c r="J12" s="320" t="n"/>
      <c r="K12" s="320" t="n"/>
    </row>
    <row r="13">
      <c r="A13" s="331" t="inlineStr">
        <is>
          <t>経常利益</t>
        </is>
      </c>
      <c r="B13" s="372" t="n"/>
      <c r="C13" s="327" t="inlineStr">
        <is>
          <t>円</t>
        </is>
      </c>
      <c r="D13" s="368" t="inlineStr">
        <is>
          <t>総支給額</t>
        </is>
      </c>
      <c r="E13" s="509">
        <f>SUM(E12:F12)</f>
        <v/>
      </c>
      <c r="F13" s="510" t="n"/>
    </row>
    <row r="14">
      <c r="A14" s="331" t="inlineStr">
        <is>
          <t>減価償却費</t>
        </is>
      </c>
      <c r="B14" s="372" t="n"/>
      <c r="C14" s="327" t="inlineStr">
        <is>
          <t>円</t>
        </is>
      </c>
      <c r="D14" s="169" t="n"/>
      <c r="E14" s="374" t="n"/>
      <c r="F14" s="169" t="n"/>
      <c r="G14" s="169" t="n"/>
      <c r="H14" s="320" t="n"/>
      <c r="I14" s="320" t="n"/>
      <c r="J14" s="320" t="n"/>
      <c r="K14" s="320" t="n"/>
    </row>
    <row r="15">
      <c r="A15" s="331" t="inlineStr">
        <is>
          <t>減価償却費(原価報告書)</t>
        </is>
      </c>
      <c r="B15" s="372" t="n"/>
      <c r="C15" s="327" t="inlineStr">
        <is>
          <t>円　原価償却費合計</t>
        </is>
      </c>
      <c r="D15" s="373">
        <f>IF((B14+B15)=0,"",(B14+B15))</f>
        <v/>
      </c>
      <c r="E15" s="374" t="inlineStr">
        <is>
          <t>円</t>
        </is>
      </c>
      <c r="F15" s="169" t="n"/>
      <c r="G15" s="169" t="n"/>
      <c r="H15" s="320" t="n"/>
      <c r="I15" s="320" t="n"/>
      <c r="J15" s="320" t="n"/>
      <c r="K15" s="320" t="n"/>
    </row>
    <row r="16">
      <c r="A16" s="331" t="inlineStr">
        <is>
          <t>資本金</t>
        </is>
      </c>
      <c r="B16" s="334">
        <f>'申請内容'!C49</f>
        <v/>
      </c>
      <c r="C16" s="327" t="inlineStr">
        <is>
          <t>円</t>
        </is>
      </c>
      <c r="D16" s="169" t="n"/>
      <c r="E16" s="169" t="n"/>
      <c r="F16" s="169" t="n"/>
      <c r="G16" s="169" t="n"/>
      <c r="H16" s="320" t="n"/>
      <c r="I16" s="320" t="n"/>
      <c r="J16" s="320" t="n"/>
      <c r="K16" s="320" t="n"/>
    </row>
    <row r="17">
      <c r="A17" s="454" t="inlineStr">
        <is>
          <t>※　資本金：個人事業主は「0」を入力</t>
        </is>
      </c>
      <c r="D17" s="169" t="n"/>
      <c r="E17" s="169" t="n"/>
      <c r="F17" s="169" t="n"/>
      <c r="G17" s="169" t="n"/>
    </row>
    <row r="18">
      <c r="A18" s="454" t="inlineStr">
        <is>
          <t>※　申請金額が売上の1/5以内であるか確認</t>
        </is>
      </c>
      <c r="D18" s="169" t="n"/>
      <c r="E18" s="169" t="n"/>
      <c r="F18" s="169" t="n"/>
      <c r="G18" s="169" t="n"/>
    </row>
    <row r="19" ht="24.75" customHeight="1" s="477"/>
    <row r="20">
      <c r="A20" s="454" t="n"/>
    </row>
    <row r="21">
      <c r="A21" s="454" t="n"/>
    </row>
    <row r="22">
      <c r="A22" s="375" t="n"/>
      <c r="B22" s="320" t="n"/>
      <c r="C22" s="320" t="n"/>
      <c r="D22" s="320" t="n"/>
      <c r="E22" s="320" t="n"/>
    </row>
    <row r="23" ht="24.75" customHeight="1" s="477">
      <c r="A23" s="314" t="inlineStr">
        <is>
          <t>【賃上げ計画】</t>
        </is>
      </c>
    </row>
    <row r="24">
      <c r="A24" s="376" t="n"/>
      <c r="B24" s="377" t="inlineStr">
        <is>
          <t>直近決算期の給与支給総額</t>
        </is>
      </c>
      <c r="C24" s="378" t="inlineStr">
        <is>
          <t>2025/4～
 2026/3
 計画数値</t>
        </is>
      </c>
      <c r="D24" s="378" t="inlineStr">
        <is>
          <t>2026/4～
 2027/3
 計画数値</t>
        </is>
      </c>
      <c r="E24" s="379" t="inlineStr">
        <is>
          <t>2027/4～
 2028/3
 計画数値</t>
        </is>
      </c>
    </row>
    <row r="25">
      <c r="A25" s="383" t="inlineStr">
        <is>
          <t>給与支給総額</t>
        </is>
      </c>
      <c r="B25" s="381">
        <f>E13</f>
        <v/>
      </c>
      <c r="C25" s="382">
        <f>B25*1.0155</f>
        <v/>
      </c>
      <c r="D25" s="382">
        <f>C25*1.0155</f>
        <v/>
      </c>
      <c r="E25" s="382">
        <f>D25*1.0155</f>
        <v/>
      </c>
    </row>
    <row r="26">
      <c r="A26" s="383" t="inlineStr">
        <is>
          <t>増加率
 （年平均成長率）</t>
        </is>
      </c>
      <c r="B26" s="320" t="n"/>
      <c r="C26" s="384">
        <f>(C25-B25)/B25</f>
        <v/>
      </c>
      <c r="D26" s="384">
        <f>(D25-C25)/C25</f>
        <v/>
      </c>
      <c r="E26" s="384">
        <f>(E25-D25)/D25</f>
        <v/>
      </c>
      <c r="F26" s="384" t="n"/>
    </row>
    <row r="27">
      <c r="A27" s="320" t="n"/>
      <c r="B27" s="320" t="n"/>
      <c r="C27" s="320" t="n"/>
      <c r="D27" s="320" t="n"/>
      <c r="E27" s="320" t="n"/>
    </row>
  </sheetData>
  <mergeCells count="1">
    <mergeCell ref="E13:F13"/>
  </mergeCell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K19"/>
  <sheetViews>
    <sheetView workbookViewId="0">
      <selection activeCell="A1" sqref="A1"/>
    </sheetView>
  </sheetViews>
  <sheetFormatPr baseColWidth="8" defaultColWidth="12.63" defaultRowHeight="15.75" customHeight="1"/>
  <cols>
    <col width="5.38" customWidth="1" style="477" min="1" max="1"/>
    <col width="19.75" customWidth="1" style="477" min="2" max="3"/>
    <col width="45.38" customWidth="1" style="477" min="4" max="4"/>
  </cols>
  <sheetData>
    <row r="1">
      <c r="A1" s="385" t="n"/>
      <c r="B1" s="386" t="inlineStr">
        <is>
          <t>入力しない</t>
        </is>
      </c>
      <c r="C1" s="386" t="inlineStr">
        <is>
          <t>入力しない</t>
        </is>
      </c>
      <c r="D1" s="387" t="inlineStr">
        <is>
          <t>商品を選択</t>
        </is>
      </c>
      <c r="E1" s="388" t="inlineStr">
        <is>
          <t>↓価格はサブスク1年分を記載</t>
        </is>
      </c>
      <c r="F1" s="385" t="n"/>
      <c r="G1" s="385" t="n"/>
      <c r="H1" s="385" t="n"/>
      <c r="I1" s="385" t="n"/>
      <c r="J1" s="385" t="n"/>
      <c r="K1" s="385" t="n"/>
    </row>
    <row r="2">
      <c r="A2" s="385" t="n"/>
      <c r="B2" s="402" t="inlineStr">
        <is>
          <t>No.</t>
        </is>
      </c>
      <c r="C2" s="402" t="inlineStr">
        <is>
          <t>管理コード</t>
        </is>
      </c>
      <c r="D2" s="391" t="inlineStr">
        <is>
          <t>商品名</t>
        </is>
      </c>
      <c r="E2" s="391" t="inlineStr">
        <is>
          <t>価格</t>
        </is>
      </c>
      <c r="F2" s="391" t="inlineStr">
        <is>
          <t>個数</t>
        </is>
      </c>
      <c r="G2" s="392" t="inlineStr">
        <is>
          <t>導入数量（箇年/回）</t>
        </is>
      </c>
      <c r="H2" s="393" t="inlineStr">
        <is>
          <t>金額</t>
        </is>
      </c>
      <c r="I2" s="385" t="n"/>
      <c r="J2" s="394" t="inlineStr">
        <is>
          <t>下限金額</t>
        </is>
      </c>
      <c r="K2" s="394" t="inlineStr">
        <is>
          <t>上限金額</t>
        </is>
      </c>
    </row>
    <row r="3">
      <c r="A3" s="395" t="n">
        <v>1</v>
      </c>
      <c r="B3" s="396">
        <f>VLOOKUP(D3,'商品マスタ'!B:F,2,FALSE)</f>
        <v/>
      </c>
      <c r="C3" s="396">
        <f>VLOOKUP(D3,'商品マスタ'!B:F,4,FALSE)</f>
        <v/>
      </c>
      <c r="D3" s="401" t="n"/>
      <c r="E3" s="400" t="n"/>
      <c r="F3" s="401" t="n"/>
      <c r="G3" s="401" t="n"/>
      <c r="H3" s="399">
        <f>E3*F3*G3</f>
        <v/>
      </c>
      <c r="I3" s="385" t="n"/>
      <c r="J3" s="394">
        <f>VLOOKUP(D3,'商品マスタ'!B:H,5,FALSE)</f>
        <v/>
      </c>
      <c r="K3" s="394">
        <f>VLOOKUP(D3,'商品マスタ'!B:H,6,FALSE)</f>
        <v/>
      </c>
    </row>
    <row r="4">
      <c r="A4" s="395" t="n">
        <v>2</v>
      </c>
      <c r="B4" s="396">
        <f>VLOOKUP(D4,'商品マスタ'!B:F,2,FALSE)</f>
        <v/>
      </c>
      <c r="C4" s="396">
        <f>VLOOKUP(D4,'商品マスタ'!B:F,4,FALSE)</f>
        <v/>
      </c>
      <c r="D4" s="401" t="n"/>
      <c r="E4" s="400" t="n"/>
      <c r="F4" s="401" t="n"/>
      <c r="G4" s="401" t="n"/>
      <c r="H4" s="399">
        <f>E4*F4*G4</f>
        <v/>
      </c>
      <c r="I4" s="385" t="n"/>
      <c r="J4" s="394">
        <f>VLOOKUP(D4,'商品マスタ'!B:H,5,FALSE)</f>
        <v/>
      </c>
      <c r="K4" s="394">
        <f>VLOOKUP(D4,'商品マスタ'!B:H,6,FALSE)</f>
        <v/>
      </c>
    </row>
    <row r="5">
      <c r="A5" s="395" t="n">
        <v>3</v>
      </c>
      <c r="B5" s="396">
        <f>VLOOKUP(D5,'商品マスタ'!B:F,2,FALSE)</f>
        <v/>
      </c>
      <c r="C5" s="396">
        <f>VLOOKUP(D5,'商品マスタ'!B:F,4,FALSE)</f>
        <v/>
      </c>
      <c r="D5" s="401" t="n"/>
      <c r="E5" s="400" t="n"/>
      <c r="F5" s="401" t="n"/>
      <c r="G5" s="401" t="n"/>
      <c r="H5" s="399">
        <f>E5*F5*G5</f>
        <v/>
      </c>
      <c r="I5" s="385" t="n"/>
      <c r="J5" s="394">
        <f>VLOOKUP(D5,'商品マスタ'!B:H,5,FALSE)</f>
        <v/>
      </c>
      <c r="K5" s="394">
        <f>VLOOKUP(D5,'商品マスタ'!B:H,6,FALSE)</f>
        <v/>
      </c>
    </row>
    <row r="6">
      <c r="A6" s="395" t="n">
        <v>4</v>
      </c>
      <c r="B6" s="396">
        <f>VLOOKUP(D6,'商品マスタ'!B:F,2,FALSE)</f>
        <v/>
      </c>
      <c r="C6" s="396">
        <f>VLOOKUP(D6,'商品マスタ'!B:F,4,FALSE)</f>
        <v/>
      </c>
      <c r="D6" s="401" t="n"/>
      <c r="E6" s="400" t="n"/>
      <c r="F6" s="401" t="n"/>
      <c r="G6" s="401" t="n"/>
      <c r="H6" s="399">
        <f>E6*G6</f>
        <v/>
      </c>
      <c r="I6" s="385" t="n"/>
      <c r="J6" s="394">
        <f>VLOOKUP(D6,'商品マスタ'!B:H,5,FALSE)</f>
        <v/>
      </c>
      <c r="K6" s="394">
        <f>VLOOKUP(D6,'商品マスタ'!B:H,6,FALSE)</f>
        <v/>
      </c>
    </row>
    <row r="7">
      <c r="A7" s="395" t="n">
        <v>5</v>
      </c>
      <c r="B7" s="396" t="n"/>
      <c r="C7" s="396" t="n"/>
      <c r="D7" s="400" t="n"/>
      <c r="E7" s="400" t="n"/>
      <c r="F7" s="400" t="n"/>
      <c r="G7" s="400" t="n"/>
      <c r="H7" s="399">
        <f>E7*F7*G7</f>
        <v/>
      </c>
      <c r="I7" s="402" t="inlineStr">
        <is>
          <t>売上の20％</t>
        </is>
      </c>
      <c r="J7" s="394" t="n"/>
      <c r="K7" s="394" t="n"/>
    </row>
    <row r="8">
      <c r="A8" s="385" t="n"/>
      <c r="B8" s="385" t="n"/>
      <c r="C8" s="404" t="n"/>
      <c r="D8" s="404" t="inlineStr">
        <is>
          <t xml:space="preserve">　　　　　　　　　　　　　　　　　　　　　　　　　　　　　　　　　　　　　　　　　　　　　　　　　　　　　　　　　　　　　　　　　　　　　　　　　　　　　　　　　　　　　　　　　　　　　　　　　　　　　　　　　　　　　　　　　　　　　　　　　　　　　　　　　　　　　　　　　　　　　　　　　　　　　　　　　　　　　　　　　　　　　　　　　　　　　　　　　　　　　　　　　　　　　　　　　　　　　　　　　　　　　　　　　　　　　　　　　　　　　　　　　　　　　　　　　　　　　　　　　　　　　　　　　　　　　　　　　　　　　　　　　　　　　　　　　　　　　</t>
        </is>
      </c>
      <c r="E8" s="405" t="inlineStr">
        <is>
          <t>合計金額（税抜）</t>
        </is>
      </c>
      <c r="F8" s="404" t="n"/>
      <c r="G8" s="404" t="n"/>
      <c r="H8" s="406">
        <f>SUM(H3:H7)</f>
        <v/>
      </c>
      <c r="I8" s="407">
        <f>'給与支給総額計算 (旧)'!B10*0.2</f>
        <v/>
      </c>
      <c r="J8" s="388" t="inlineStr">
        <is>
          <t>←合計金額が売上高の20％以内か確認</t>
        </is>
      </c>
      <c r="K8" s="385" t="n"/>
    </row>
    <row r="9">
      <c r="A9" s="385" t="n"/>
      <c r="B9" s="385" t="n"/>
      <c r="C9" s="404" t="n"/>
      <c r="D9" s="404" t="n"/>
      <c r="E9" s="408" t="inlineStr">
        <is>
          <t>消費税</t>
        </is>
      </c>
      <c r="F9" s="404" t="n"/>
      <c r="G9" s="404" t="n"/>
      <c r="H9" s="406">
        <f>H8*0.1</f>
        <v/>
      </c>
      <c r="I9" s="385" t="n"/>
      <c r="J9" s="385" t="n"/>
      <c r="K9" s="385" t="n"/>
    </row>
    <row r="10">
      <c r="A10" s="385" t="n"/>
      <c r="B10" s="385" t="n"/>
      <c r="C10" s="404" t="n"/>
      <c r="D10" s="404" t="n"/>
      <c r="E10" s="404" t="n"/>
      <c r="F10" s="404" t="n"/>
      <c r="G10" s="404" t="n"/>
      <c r="H10" s="409" t="n"/>
      <c r="I10" s="385" t="n"/>
      <c r="J10" s="385" t="n"/>
      <c r="K10" s="385" t="n"/>
    </row>
    <row r="11">
      <c r="A11" s="385" t="n"/>
      <c r="B11" s="385" t="n"/>
      <c r="C11" s="404" t="n"/>
      <c r="D11" s="404" t="inlineStr">
        <is>
          <t xml:space="preserve">　　　　　　　　　　　　　　　　　　　　　　　　　　　　　　　　　　　　　　　　　　　　　　　　　　　　　　　　　　　　　　　　　　　　　　　　　　　　　　　　　　　　　　　　　　　　　　　　　　　　　　　　　　　　　　　　　　　　　　　　</t>
        </is>
      </c>
      <c r="E11" s="408" t="inlineStr">
        <is>
          <t>総額</t>
        </is>
      </c>
      <c r="F11" s="404" t="n"/>
      <c r="G11" s="404" t="n"/>
      <c r="H11" s="406">
        <f>SUM(H8:H10)</f>
        <v/>
      </c>
      <c r="I11" s="385" t="n"/>
      <c r="J11" s="385" t="n"/>
      <c r="K11" s="385" t="n"/>
    </row>
    <row r="12">
      <c r="A12" s="385" t="n"/>
      <c r="B12" s="385" t="n"/>
      <c r="C12" s="385" t="n"/>
      <c r="D12" s="385" t="n"/>
      <c r="E12" s="385" t="n"/>
      <c r="F12" s="385" t="n"/>
      <c r="G12" s="385" t="n"/>
      <c r="H12" s="385" t="n"/>
      <c r="I12" s="385" t="n"/>
      <c r="J12" s="385" t="n"/>
      <c r="K12" s="385" t="n"/>
    </row>
    <row r="13">
      <c r="E13" s="413" t="inlineStr">
        <is>
          <t>補助金額</t>
        </is>
      </c>
      <c r="F13" s="413" t="n"/>
      <c r="G13" s="413" t="n"/>
      <c r="H13" s="411">
        <f>MIN(ROUNDDOWN((H8-666667)*2/3, 0) + 500000, 3500000)</f>
        <v/>
      </c>
    </row>
    <row r="14">
      <c r="B14" s="412" t="inlineStr">
        <is>
          <t>見積もりのスクショを貼る↓</t>
        </is>
      </c>
      <c r="E14" s="413" t="n"/>
      <c r="F14" s="413" t="n"/>
      <c r="G14" s="413" t="n"/>
      <c r="H14" s="411" t="n"/>
    </row>
    <row r="19">
      <c r="I19" s="454" t="inlineStr">
        <is>
          <t xml:space="preserve">　　　　　　　　　　　　　　　　　　　　　　　　</t>
        </is>
      </c>
    </row>
  </sheetData>
  <dataValidations count="1">
    <dataValidation sqref="D3:D6" showDropDown="0" showInputMessage="0" showErrorMessage="1" allowBlank="1" type="list">
      <formula1>'商品マスタ'!$B$3:$B$45</formula1>
    </dataValidation>
  </dataValidation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J9"/>
  <sheetViews>
    <sheetView workbookViewId="0">
      <selection activeCell="A1" sqref="A1"/>
    </sheetView>
  </sheetViews>
  <sheetFormatPr baseColWidth="8" defaultColWidth="12.63" defaultRowHeight="15.75" customHeight="1"/>
  <cols>
    <col width="21.63" customWidth="1" style="477" min="2" max="3"/>
    <col width="25.63" customWidth="1" style="477" min="4" max="4"/>
    <col width="16.88" customWidth="1" style="477" min="5" max="5"/>
    <col width="17.88" customWidth="1" style="477" min="6" max="6"/>
  </cols>
  <sheetData>
    <row r="1">
      <c r="A1" s="169" t="n"/>
      <c r="B1" s="169" t="n"/>
      <c r="C1" s="169" t="n"/>
      <c r="D1" s="169" t="n"/>
      <c r="E1" s="169" t="n"/>
      <c r="F1" s="169" t="n"/>
      <c r="G1" s="169" t="n"/>
      <c r="H1" s="169" t="n"/>
      <c r="I1" s="169" t="n"/>
      <c r="J1" s="169" t="n"/>
    </row>
    <row r="2">
      <c r="A2" s="169" t="n"/>
      <c r="B2" s="169" t="n"/>
      <c r="C2" s="169" t="n"/>
      <c r="D2" s="169" t="n"/>
      <c r="E2" s="169" t="n"/>
      <c r="F2" s="169" t="n"/>
      <c r="G2" s="169" t="n"/>
      <c r="H2" s="169" t="n"/>
      <c r="I2" s="169" t="n"/>
      <c r="J2" s="169" t="n"/>
    </row>
    <row r="3">
      <c r="A3" s="169" t="n"/>
      <c r="B3" s="169" t="n"/>
      <c r="C3" s="414" t="inlineStr">
        <is>
          <t>↓コードを入力する</t>
        </is>
      </c>
      <c r="D3" s="169" t="n"/>
      <c r="E3" s="169" t="n"/>
      <c r="F3" s="169" t="n"/>
      <c r="G3" s="169" t="n"/>
      <c r="H3" s="169" t="n"/>
      <c r="I3" s="169" t="n"/>
      <c r="J3" s="169" t="n"/>
    </row>
    <row r="4">
      <c r="A4" s="169" t="n"/>
      <c r="B4" s="415" t="inlineStr">
        <is>
          <t>大分類</t>
        </is>
      </c>
      <c r="C4" s="280" t="inlineStr">
        <is>
          <t>業種コード（先頭2桁）</t>
        </is>
      </c>
      <c r="D4" s="415" t="inlineStr">
        <is>
          <t>中分類</t>
        </is>
      </c>
      <c r="E4" s="415" t="inlineStr">
        <is>
          <t>業種区分</t>
        </is>
      </c>
      <c r="F4" s="415" t="inlineStr">
        <is>
          <t>従業員数</t>
        </is>
      </c>
      <c r="G4" s="169" t="n"/>
      <c r="H4" s="169" t="n"/>
      <c r="I4" s="169" t="n"/>
      <c r="J4" s="169" t="n"/>
    </row>
    <row r="5">
      <c r="A5" s="169" t="n"/>
      <c r="B5" s="169" t="n"/>
      <c r="C5" s="169" t="n"/>
      <c r="D5" s="169" t="n"/>
      <c r="E5" s="169" t="n"/>
      <c r="F5" s="169" t="n"/>
      <c r="G5" s="169" t="n"/>
      <c r="H5" s="169" t="n"/>
      <c r="I5" s="169" t="n"/>
      <c r="J5" s="169" t="n"/>
    </row>
    <row r="6">
      <c r="A6" s="169" t="n"/>
      <c r="B6" s="415">
        <f>VLOOKUP(C6,'分類表'!A:G,2,FALSE)</f>
        <v/>
      </c>
      <c r="C6" s="416" t="n">
        <v>8</v>
      </c>
      <c r="D6" s="415">
        <f>VLOOKUP(C6,'分類表'!A:G,3,FALSE)</f>
        <v/>
      </c>
      <c r="E6" s="415">
        <f>VLOOKUP(C6,'分類表'!A:G,4,FALSE)</f>
        <v/>
      </c>
      <c r="F6" s="417">
        <f>VLOOKUP(C6,'分類表'!A:G,5,FALSE)</f>
        <v/>
      </c>
      <c r="G6" s="169" t="n"/>
      <c r="H6" s="169" t="n"/>
      <c r="I6" s="169" t="n"/>
      <c r="J6" s="169" t="n"/>
    </row>
    <row r="7">
      <c r="A7" s="169" t="n"/>
      <c r="B7" s="169" t="n"/>
      <c r="C7" s="169" t="inlineStr">
        <is>
          <t>例）0609の場合は06</t>
        </is>
      </c>
      <c r="D7" s="169" t="n"/>
      <c r="E7" s="169" t="n"/>
      <c r="F7" s="414" t="inlineStr">
        <is>
          <t>従業員数を確認し、上記に該当する場合は小規模事業者</t>
        </is>
      </c>
      <c r="G7" s="169" t="n"/>
      <c r="H7" s="169" t="n"/>
      <c r="I7" s="169" t="n"/>
      <c r="J7" s="169" t="n"/>
    </row>
    <row r="8">
      <c r="A8" s="169" t="n"/>
      <c r="B8" s="169" t="n"/>
      <c r="C8" s="169" t="n"/>
      <c r="D8" s="169" t="n"/>
      <c r="E8" s="169" t="n"/>
      <c r="F8" s="169" t="n"/>
      <c r="G8" s="169" t="n"/>
      <c r="H8" s="169" t="n"/>
      <c r="I8" s="169" t="n"/>
      <c r="J8" s="169" t="n"/>
    </row>
    <row r="9">
      <c r="A9" s="169" t="n"/>
      <c r="B9" s="169" t="n"/>
      <c r="C9" s="169" t="n"/>
      <c r="D9" s="169" t="n"/>
      <c r="E9" s="169" t="n"/>
      <c r="F9" s="169" t="n"/>
      <c r="G9" s="169" t="n"/>
      <c r="H9" s="169" t="n"/>
      <c r="I9" s="169" t="n"/>
      <c r="J9" s="169" t="n"/>
    </row>
  </sheetData>
  <pageMargins left="0.75" right="0.75" top="1" bottom="1" header="0.5" footer="0.5"/>
</worksheet>
</file>

<file path=xl/worksheets/sheet7.xml><?xml version="1.0" encoding="utf-8"?>
<worksheet xmlns="http://schemas.openxmlformats.org/spreadsheetml/2006/main">
  <sheetPr>
    <outlinePr summaryBelow="0" summaryRight="0"/>
    <pageSetUpPr/>
  </sheetPr>
  <dimension ref="A1:E1000"/>
  <sheetViews>
    <sheetView workbookViewId="0">
      <selection activeCell="A1" sqref="A1"/>
    </sheetView>
  </sheetViews>
  <sheetFormatPr baseColWidth="8" defaultColWidth="12.63" defaultRowHeight="15.75" customHeight="1"/>
  <sheetData>
    <row r="1">
      <c r="A1" s="169" t="n"/>
      <c r="B1" s="169" t="n"/>
      <c r="C1" s="169" t="n"/>
      <c r="D1" s="169" t="n"/>
      <c r="E1" s="169" t="n"/>
    </row>
    <row r="2">
      <c r="A2" s="418" t="n">
        <v>1</v>
      </c>
      <c r="B2" s="419" t="inlineStr">
        <is>
          <t>A 農業、林業</t>
        </is>
      </c>
      <c r="C2" s="420" t="inlineStr">
        <is>
          <t>農業</t>
        </is>
      </c>
      <c r="D2" s="511" t="inlineStr">
        <is>
          <t>支給対象外</t>
        </is>
      </c>
      <c r="E2" s="169" t="n"/>
    </row>
    <row r="3">
      <c r="A3" s="422" t="n">
        <v>2</v>
      </c>
      <c r="B3" s="419" t="inlineStr">
        <is>
          <t>A 農業、林業</t>
        </is>
      </c>
      <c r="C3" s="423" t="inlineStr">
        <is>
          <t>林業</t>
        </is>
      </c>
      <c r="D3" s="501" t="n"/>
      <c r="E3" s="169" t="n"/>
    </row>
    <row r="4">
      <c r="A4" s="422" t="n">
        <v>3</v>
      </c>
      <c r="B4" s="424" t="inlineStr">
        <is>
          <t>B 漁業</t>
        </is>
      </c>
      <c r="C4" s="423" t="inlineStr">
        <is>
          <t>漁業</t>
        </is>
      </c>
      <c r="D4" s="501" t="n"/>
      <c r="E4" s="169" t="n"/>
    </row>
    <row r="5">
      <c r="A5" s="422" t="n">
        <v>4</v>
      </c>
      <c r="B5" s="424" t="inlineStr">
        <is>
          <t>B 漁業</t>
        </is>
      </c>
      <c r="C5" s="423" t="inlineStr">
        <is>
          <t>水産養殖業</t>
        </is>
      </c>
      <c r="D5" s="502" t="n"/>
      <c r="E5" s="169" t="n"/>
    </row>
    <row r="6">
      <c r="A6" s="425" t="n">
        <v>5</v>
      </c>
      <c r="B6" s="426" t="inlineStr">
        <is>
          <t>Ｃ 鉱業、採石業、砂
 利採取業</t>
        </is>
      </c>
      <c r="C6" s="423" t="inlineStr">
        <is>
          <t>鉱業、採石業、砂利採取業</t>
        </is>
      </c>
      <c r="D6" s="427" t="inlineStr">
        <is>
          <t>製造業その他</t>
        </is>
      </c>
      <c r="E6" s="169" t="inlineStr">
        <is>
          <t>20人以下</t>
        </is>
      </c>
    </row>
    <row r="7">
      <c r="A7" s="422" t="n">
        <v>6</v>
      </c>
      <c r="B7" s="424" t="inlineStr">
        <is>
          <t>D 建設業</t>
        </is>
      </c>
      <c r="C7" s="423" t="inlineStr">
        <is>
          <t>総合工事業</t>
        </is>
      </c>
      <c r="D7" s="424" t="inlineStr">
        <is>
          <t>製造業その他</t>
        </is>
      </c>
      <c r="E7" s="169" t="inlineStr">
        <is>
          <t>20人以下</t>
        </is>
      </c>
    </row>
    <row r="8">
      <c r="A8" s="422" t="n">
        <v>7</v>
      </c>
      <c r="B8" s="424" t="inlineStr">
        <is>
          <t>D 建設業</t>
        </is>
      </c>
      <c r="C8" s="423" t="inlineStr">
        <is>
          <t>職別工事業（設備工事業を除く）</t>
        </is>
      </c>
      <c r="D8" s="424" t="inlineStr">
        <is>
          <t>製造業その他</t>
        </is>
      </c>
      <c r="E8" s="169" t="inlineStr">
        <is>
          <t>20人以下</t>
        </is>
      </c>
    </row>
    <row r="9">
      <c r="A9" s="422" t="n">
        <v>8</v>
      </c>
      <c r="B9" s="424" t="inlineStr">
        <is>
          <t>D 建設業</t>
        </is>
      </c>
      <c r="C9" s="423" t="inlineStr">
        <is>
          <t>設備工事業</t>
        </is>
      </c>
      <c r="D9" s="424" t="inlineStr">
        <is>
          <t>製造業その他</t>
        </is>
      </c>
      <c r="E9" s="169" t="inlineStr">
        <is>
          <t>20人以下</t>
        </is>
      </c>
    </row>
    <row r="10">
      <c r="A10" s="422" t="n">
        <v>9</v>
      </c>
      <c r="B10" s="428" t="inlineStr">
        <is>
          <t>E 製造業</t>
        </is>
      </c>
      <c r="C10" s="423" t="inlineStr">
        <is>
          <t>食料品製造業</t>
        </is>
      </c>
      <c r="D10" s="428" t="inlineStr">
        <is>
          <t>製造業その他</t>
        </is>
      </c>
      <c r="E10" s="169" t="inlineStr">
        <is>
          <t>20人以下</t>
        </is>
      </c>
    </row>
    <row r="11">
      <c r="A11" s="422" t="n">
        <v>10</v>
      </c>
      <c r="B11" s="428" t="inlineStr">
        <is>
          <t>E 製造業</t>
        </is>
      </c>
      <c r="C11" s="423" t="inlineStr">
        <is>
          <t>飲料・たばこ・飼料製造業</t>
        </is>
      </c>
      <c r="D11" s="428" t="inlineStr">
        <is>
          <t>製造業その他</t>
        </is>
      </c>
      <c r="E11" s="169" t="inlineStr">
        <is>
          <t>20人以下</t>
        </is>
      </c>
    </row>
    <row r="12">
      <c r="A12" s="422" t="n">
        <v>11</v>
      </c>
      <c r="B12" s="428" t="inlineStr">
        <is>
          <t>E 製造業</t>
        </is>
      </c>
      <c r="C12" s="423" t="inlineStr">
        <is>
          <t>繊維工業</t>
        </is>
      </c>
      <c r="D12" s="428" t="inlineStr">
        <is>
          <t>製造業その他</t>
        </is>
      </c>
      <c r="E12" s="169" t="inlineStr">
        <is>
          <t>20人以下</t>
        </is>
      </c>
    </row>
    <row r="13">
      <c r="A13" s="422" t="n">
        <v>12</v>
      </c>
      <c r="B13" s="428" t="inlineStr">
        <is>
          <t>E 製造業</t>
        </is>
      </c>
      <c r="C13" s="423" t="inlineStr">
        <is>
          <t>木材・木製品製造業（家具を除く）</t>
        </is>
      </c>
      <c r="D13" s="428" t="inlineStr">
        <is>
          <t>製造業その他</t>
        </is>
      </c>
      <c r="E13" s="169" t="inlineStr">
        <is>
          <t>20人以下</t>
        </is>
      </c>
    </row>
    <row r="14">
      <c r="A14" s="422" t="n">
        <v>13</v>
      </c>
      <c r="B14" s="428" t="inlineStr">
        <is>
          <t>E 製造業</t>
        </is>
      </c>
      <c r="C14" s="423" t="inlineStr">
        <is>
          <t>家具・装備品製造業</t>
        </is>
      </c>
      <c r="D14" s="428" t="inlineStr">
        <is>
          <t>製造業その他</t>
        </is>
      </c>
      <c r="E14" s="169" t="inlineStr">
        <is>
          <t>20人以下</t>
        </is>
      </c>
    </row>
    <row r="15">
      <c r="A15" s="422" t="n">
        <v>14</v>
      </c>
      <c r="B15" s="428" t="inlineStr">
        <is>
          <t>E 製造業</t>
        </is>
      </c>
      <c r="C15" s="423" t="inlineStr">
        <is>
          <t>パルプ・紙・紙加工品製造業</t>
        </is>
      </c>
      <c r="D15" s="428" t="inlineStr">
        <is>
          <t>製造業その他</t>
        </is>
      </c>
      <c r="E15" s="169" t="inlineStr">
        <is>
          <t>20人以下</t>
        </is>
      </c>
    </row>
    <row r="16">
      <c r="A16" s="422" t="n">
        <v>15</v>
      </c>
      <c r="B16" s="428" t="inlineStr">
        <is>
          <t>E 製造業</t>
        </is>
      </c>
      <c r="C16" s="423" t="inlineStr">
        <is>
          <t>印刷・同関連業</t>
        </is>
      </c>
      <c r="D16" s="428" t="inlineStr">
        <is>
          <t>製造業その他</t>
        </is>
      </c>
      <c r="E16" s="169" t="inlineStr">
        <is>
          <t>20人以下</t>
        </is>
      </c>
    </row>
    <row r="17">
      <c r="A17" s="422" t="n">
        <v>16</v>
      </c>
      <c r="B17" s="428" t="inlineStr">
        <is>
          <t>E 製造業</t>
        </is>
      </c>
      <c r="C17" s="423" t="inlineStr">
        <is>
          <t>化学工業</t>
        </is>
      </c>
      <c r="D17" s="428" t="inlineStr">
        <is>
          <t>製造業その他</t>
        </is>
      </c>
      <c r="E17" s="169" t="inlineStr">
        <is>
          <t>20人以下</t>
        </is>
      </c>
    </row>
    <row r="18">
      <c r="A18" s="422" t="n">
        <v>17</v>
      </c>
      <c r="B18" s="428" t="inlineStr">
        <is>
          <t>E 製造業</t>
        </is>
      </c>
      <c r="C18" s="423" t="inlineStr">
        <is>
          <t>石油製品・石炭製品製造業</t>
        </is>
      </c>
      <c r="D18" s="428" t="inlineStr">
        <is>
          <t>製造業その他</t>
        </is>
      </c>
      <c r="E18" s="169" t="inlineStr">
        <is>
          <t>20人以下</t>
        </is>
      </c>
    </row>
    <row r="19">
      <c r="A19" s="422" t="n">
        <v>18</v>
      </c>
      <c r="B19" s="428" t="inlineStr">
        <is>
          <t>E 製造業</t>
        </is>
      </c>
      <c r="C19" s="423" t="inlineStr">
        <is>
          <t>プラスチック製品製造業（別掲を除く）</t>
        </is>
      </c>
      <c r="D19" s="428" t="inlineStr">
        <is>
          <t>製造業その他</t>
        </is>
      </c>
      <c r="E19" s="169" t="inlineStr">
        <is>
          <t>20人以下</t>
        </is>
      </c>
    </row>
    <row r="20">
      <c r="A20" s="422" t="n">
        <v>19</v>
      </c>
      <c r="B20" s="428" t="inlineStr">
        <is>
          <t>E 製造業</t>
        </is>
      </c>
      <c r="C20" s="423" t="inlineStr">
        <is>
          <t>ゴム製品製造業</t>
        </is>
      </c>
      <c r="D20" s="428" t="inlineStr">
        <is>
          <t>製造業その他</t>
        </is>
      </c>
      <c r="E20" s="169" t="inlineStr">
        <is>
          <t>20人以下</t>
        </is>
      </c>
    </row>
    <row r="21">
      <c r="A21" s="422" t="n">
        <v>20</v>
      </c>
      <c r="B21" s="428" t="inlineStr">
        <is>
          <t>E 製造業</t>
        </is>
      </c>
      <c r="C21" s="423" t="inlineStr">
        <is>
          <t>なめし革・同製品・毛皮製造業</t>
        </is>
      </c>
      <c r="D21" s="428" t="inlineStr">
        <is>
          <t>製造業その他</t>
        </is>
      </c>
      <c r="E21" s="169" t="inlineStr">
        <is>
          <t>20人以下</t>
        </is>
      </c>
    </row>
    <row r="22">
      <c r="A22" s="422" t="n">
        <v>21</v>
      </c>
      <c r="B22" s="428" t="inlineStr">
        <is>
          <t>E 製造業</t>
        </is>
      </c>
      <c r="C22" s="423" t="inlineStr">
        <is>
          <t>窯業・土石製品製造業</t>
        </is>
      </c>
      <c r="D22" s="428" t="inlineStr">
        <is>
          <t>製造業その他</t>
        </is>
      </c>
      <c r="E22" s="169" t="inlineStr">
        <is>
          <t>20人以下</t>
        </is>
      </c>
    </row>
    <row r="23">
      <c r="A23" s="422" t="n">
        <v>22</v>
      </c>
      <c r="B23" s="428" t="inlineStr">
        <is>
          <t>E 製造業</t>
        </is>
      </c>
      <c r="C23" s="423" t="inlineStr">
        <is>
          <t>鉄鋼業</t>
        </is>
      </c>
      <c r="D23" s="428" t="inlineStr">
        <is>
          <t>製造業その他</t>
        </is>
      </c>
      <c r="E23" s="169" t="inlineStr">
        <is>
          <t>20人以下</t>
        </is>
      </c>
    </row>
    <row r="24">
      <c r="A24" s="422" t="n">
        <v>23</v>
      </c>
      <c r="B24" s="428" t="inlineStr">
        <is>
          <t>E 製造業</t>
        </is>
      </c>
      <c r="C24" s="423" t="inlineStr">
        <is>
          <t>非鉄金属製造業</t>
        </is>
      </c>
      <c r="D24" s="428" t="inlineStr">
        <is>
          <t>製造業その他</t>
        </is>
      </c>
      <c r="E24" s="169" t="inlineStr">
        <is>
          <t>20人以下</t>
        </is>
      </c>
    </row>
    <row r="25">
      <c r="A25" s="422" t="n">
        <v>24</v>
      </c>
      <c r="B25" s="428" t="inlineStr">
        <is>
          <t>E 製造業</t>
        </is>
      </c>
      <c r="C25" s="423" t="inlineStr">
        <is>
          <t>金属製品製造業</t>
        </is>
      </c>
      <c r="D25" s="428" t="inlineStr">
        <is>
          <t>製造業その他</t>
        </is>
      </c>
      <c r="E25" s="169" t="inlineStr">
        <is>
          <t>20人以下</t>
        </is>
      </c>
    </row>
    <row r="26">
      <c r="A26" s="422" t="n">
        <v>25</v>
      </c>
      <c r="B26" s="428" t="inlineStr">
        <is>
          <t>E 製造業</t>
        </is>
      </c>
      <c r="C26" s="423" t="inlineStr">
        <is>
          <t>はん用機械器具製造業</t>
        </is>
      </c>
      <c r="D26" s="428" t="inlineStr">
        <is>
          <t>製造業その他</t>
        </is>
      </c>
      <c r="E26" s="169" t="inlineStr">
        <is>
          <t>20人以下</t>
        </is>
      </c>
    </row>
    <row r="27">
      <c r="A27" s="422" t="n">
        <v>26</v>
      </c>
      <c r="B27" s="428" t="inlineStr">
        <is>
          <t>E 製造業</t>
        </is>
      </c>
      <c r="C27" s="423" t="inlineStr">
        <is>
          <t>生産用機械器具製造業</t>
        </is>
      </c>
      <c r="D27" s="428" t="inlineStr">
        <is>
          <t>製造業その他</t>
        </is>
      </c>
      <c r="E27" s="169" t="inlineStr">
        <is>
          <t>20人以下</t>
        </is>
      </c>
    </row>
    <row r="28">
      <c r="A28" s="422" t="n">
        <v>27</v>
      </c>
      <c r="B28" s="428" t="inlineStr">
        <is>
          <t>E 製造業</t>
        </is>
      </c>
      <c r="C28" s="423" t="inlineStr">
        <is>
          <t>業務用機械器具製造業</t>
        </is>
      </c>
      <c r="D28" s="428" t="inlineStr">
        <is>
          <t>製造業その他</t>
        </is>
      </c>
      <c r="E28" s="169" t="inlineStr">
        <is>
          <t>20人以下</t>
        </is>
      </c>
    </row>
    <row r="29">
      <c r="A29" s="422" t="n">
        <v>28</v>
      </c>
      <c r="B29" s="428" t="inlineStr">
        <is>
          <t>E 製造業</t>
        </is>
      </c>
      <c r="C29" s="423" t="inlineStr">
        <is>
          <t>電子部品・デバイス・電子回路製造業</t>
        </is>
      </c>
      <c r="D29" s="428" t="inlineStr">
        <is>
          <t>製造業その他</t>
        </is>
      </c>
      <c r="E29" s="169" t="inlineStr">
        <is>
          <t>20人以下</t>
        </is>
      </c>
    </row>
    <row r="30">
      <c r="A30" s="422" t="n">
        <v>29</v>
      </c>
      <c r="B30" s="428" t="inlineStr">
        <is>
          <t>E 製造業</t>
        </is>
      </c>
      <c r="C30" s="423" t="inlineStr">
        <is>
          <t>電気機械器具製造業</t>
        </is>
      </c>
      <c r="D30" s="428" t="inlineStr">
        <is>
          <t>製造業その他</t>
        </is>
      </c>
      <c r="E30" s="169" t="inlineStr">
        <is>
          <t>20人以下</t>
        </is>
      </c>
    </row>
    <row r="31">
      <c r="A31" s="422" t="n">
        <v>30</v>
      </c>
      <c r="B31" s="428" t="inlineStr">
        <is>
          <t>E 製造業</t>
        </is>
      </c>
      <c r="C31" s="423" t="inlineStr">
        <is>
          <t>情報通信機械器具製造業</t>
        </is>
      </c>
      <c r="D31" s="428" t="inlineStr">
        <is>
          <t>製造業その他</t>
        </is>
      </c>
      <c r="E31" s="169" t="inlineStr">
        <is>
          <t>20人以下</t>
        </is>
      </c>
    </row>
    <row r="32">
      <c r="A32" s="422" t="n">
        <v>31</v>
      </c>
      <c r="B32" s="428" t="inlineStr">
        <is>
          <t>E 製造業</t>
        </is>
      </c>
      <c r="C32" s="423" t="inlineStr">
        <is>
          <t>輸送用機械器具製造業</t>
        </is>
      </c>
      <c r="D32" s="428" t="inlineStr">
        <is>
          <t>製造業その他</t>
        </is>
      </c>
      <c r="E32" s="169" t="inlineStr">
        <is>
          <t>20人以下</t>
        </is>
      </c>
    </row>
    <row r="33">
      <c r="A33" s="422" t="n">
        <v>32</v>
      </c>
      <c r="B33" s="428" t="inlineStr">
        <is>
          <t>E 製造業</t>
        </is>
      </c>
      <c r="C33" s="423" t="inlineStr">
        <is>
          <t>その他の製造業</t>
        </is>
      </c>
      <c r="D33" s="428" t="inlineStr">
        <is>
          <t>製造業その他</t>
        </is>
      </c>
      <c r="E33" s="169" t="inlineStr">
        <is>
          <t>20人以下</t>
        </is>
      </c>
    </row>
    <row r="34">
      <c r="A34" s="422" t="n">
        <v>33</v>
      </c>
      <c r="B34" s="424" t="inlineStr">
        <is>
          <t>F 電気・ガス・熱供給・水道業</t>
        </is>
      </c>
      <c r="C34" s="423" t="inlineStr">
        <is>
          <t>電気業</t>
        </is>
      </c>
      <c r="D34" s="424" t="inlineStr">
        <is>
          <t>製造業その他</t>
        </is>
      </c>
      <c r="E34" s="169" t="inlineStr">
        <is>
          <t>20人以下</t>
        </is>
      </c>
    </row>
    <row r="35">
      <c r="A35" s="422" t="n">
        <v>34</v>
      </c>
      <c r="B35" s="424" t="inlineStr">
        <is>
          <t>F 電気・ガス・熱供給・水道業</t>
        </is>
      </c>
      <c r="C35" s="423" t="inlineStr">
        <is>
          <t>ガス業</t>
        </is>
      </c>
      <c r="D35" s="424" t="inlineStr">
        <is>
          <t>製造業その他</t>
        </is>
      </c>
      <c r="E35" s="169" t="inlineStr">
        <is>
          <t>20人以下</t>
        </is>
      </c>
    </row>
    <row r="36">
      <c r="A36" s="422" t="n">
        <v>35</v>
      </c>
      <c r="B36" s="424" t="inlineStr">
        <is>
          <t>F 電気・ガス・熱供給・水道業</t>
        </is>
      </c>
      <c r="C36" s="423" t="inlineStr">
        <is>
          <t>熱供給業</t>
        </is>
      </c>
      <c r="D36" s="424" t="inlineStr">
        <is>
          <t>製造業その他</t>
        </is>
      </c>
      <c r="E36" s="169" t="inlineStr">
        <is>
          <t>20人以下</t>
        </is>
      </c>
    </row>
    <row r="37">
      <c r="A37" s="422" t="n">
        <v>36</v>
      </c>
      <c r="B37" s="424" t="inlineStr">
        <is>
          <t>F 電気・ガス・熱供給・水道業</t>
        </is>
      </c>
      <c r="C37" s="423" t="inlineStr">
        <is>
          <t>水道業</t>
        </is>
      </c>
      <c r="D37" s="424" t="inlineStr">
        <is>
          <t>製造業その他</t>
        </is>
      </c>
      <c r="E37" s="169" t="inlineStr">
        <is>
          <t>20人以下</t>
        </is>
      </c>
    </row>
    <row r="38">
      <c r="A38" s="422" t="n">
        <v>37</v>
      </c>
      <c r="B38" s="428" t="inlineStr">
        <is>
          <t>G 情報通信業</t>
        </is>
      </c>
      <c r="C38" s="423" t="inlineStr">
        <is>
          <t>通信業</t>
        </is>
      </c>
      <c r="D38" s="423" t="inlineStr">
        <is>
          <t>製造業その他</t>
        </is>
      </c>
      <c r="E38" s="169" t="inlineStr">
        <is>
          <t>20人以下</t>
        </is>
      </c>
    </row>
    <row r="39">
      <c r="A39" s="422" t="n">
        <v>38</v>
      </c>
      <c r="B39" s="428" t="inlineStr">
        <is>
          <t>G 情報通信業</t>
        </is>
      </c>
      <c r="C39" s="423" t="inlineStr">
        <is>
          <t>放送業</t>
        </is>
      </c>
      <c r="D39" s="424" t="inlineStr">
        <is>
          <t>商業サービス業</t>
        </is>
      </c>
      <c r="E39" s="169" t="inlineStr">
        <is>
          <t>5人以下</t>
        </is>
      </c>
    </row>
    <row r="40">
      <c r="A40" s="422" t="n">
        <v>39</v>
      </c>
      <c r="B40" s="428" t="inlineStr">
        <is>
          <t>G 情報通信業</t>
        </is>
      </c>
      <c r="C40" s="423" t="inlineStr">
        <is>
          <t>情報サービス業</t>
        </is>
      </c>
      <c r="D40" s="424" t="inlineStr">
        <is>
          <t>商業サービス業</t>
        </is>
      </c>
      <c r="E40" s="169" t="inlineStr">
        <is>
          <t>5人以下</t>
        </is>
      </c>
    </row>
    <row r="41">
      <c r="A41" s="422" t="n">
        <v>40</v>
      </c>
      <c r="B41" s="428" t="inlineStr">
        <is>
          <t>G 情報通信業</t>
        </is>
      </c>
      <c r="C41" s="423" t="inlineStr">
        <is>
          <t>インターネット付随サービス業</t>
        </is>
      </c>
      <c r="D41" s="423" t="inlineStr">
        <is>
          <t>製造業その他</t>
        </is>
      </c>
      <c r="E41" s="169" t="inlineStr">
        <is>
          <t>20人以下</t>
        </is>
      </c>
    </row>
    <row r="42">
      <c r="A42" s="512" t="n">
        <v>41</v>
      </c>
      <c r="B42" s="428" t="inlineStr">
        <is>
          <t>G 情報通信業</t>
        </is>
      </c>
      <c r="C42" s="423" t="inlineStr">
        <is>
          <t>映像・音声・文字情報制作業
 411映像情報制作・配給業 412音声情報制作業415広告制作業 416映像・音声・文字情報制作に付帯するサービス業</t>
        </is>
      </c>
      <c r="D42" s="423" t="inlineStr">
        <is>
          <t>商業サービス業</t>
        </is>
      </c>
      <c r="E42" s="169" t="inlineStr">
        <is>
          <t>5人以下</t>
        </is>
      </c>
    </row>
    <row r="43">
      <c r="A43" s="502" t="n"/>
      <c r="B43" s="428" t="inlineStr">
        <is>
          <t>G 情報通信業</t>
        </is>
      </c>
      <c r="C43" s="423" t="inlineStr">
        <is>
          <t>上記以外</t>
        </is>
      </c>
      <c r="D43" s="423" t="inlineStr">
        <is>
          <t>製造業その他</t>
        </is>
      </c>
      <c r="E43" s="169" t="inlineStr">
        <is>
          <t>20人以下</t>
        </is>
      </c>
    </row>
    <row r="44">
      <c r="A44" s="422" t="n">
        <v>42</v>
      </c>
      <c r="B44" s="424" t="inlineStr">
        <is>
          <t>H 運輸業、郵便業</t>
        </is>
      </c>
      <c r="C44" s="423" t="inlineStr">
        <is>
          <t>鉄道業</t>
        </is>
      </c>
      <c r="D44" s="424" t="inlineStr">
        <is>
          <t>製造業その他</t>
        </is>
      </c>
      <c r="E44" s="169" t="inlineStr">
        <is>
          <t>20人以下</t>
        </is>
      </c>
    </row>
    <row r="45">
      <c r="A45" s="422" t="n">
        <v>43</v>
      </c>
      <c r="B45" s="424" t="inlineStr">
        <is>
          <t>H 運輸業、郵便業</t>
        </is>
      </c>
      <c r="C45" s="423" t="inlineStr">
        <is>
          <t>道路旅客運送業</t>
        </is>
      </c>
      <c r="D45" s="424" t="inlineStr">
        <is>
          <t>製造業その他</t>
        </is>
      </c>
      <c r="E45" s="169" t="inlineStr">
        <is>
          <t>20人以下</t>
        </is>
      </c>
    </row>
    <row r="46">
      <c r="A46" s="422" t="n">
        <v>44</v>
      </c>
      <c r="B46" s="424" t="inlineStr">
        <is>
          <t>H 運輸業、郵便業</t>
        </is>
      </c>
      <c r="C46" s="423" t="inlineStr">
        <is>
          <t>道路貨物運送業</t>
        </is>
      </c>
      <c r="D46" s="424" t="inlineStr">
        <is>
          <t>製造業その他</t>
        </is>
      </c>
      <c r="E46" s="169" t="inlineStr">
        <is>
          <t>20人以下</t>
        </is>
      </c>
    </row>
    <row r="47">
      <c r="A47" s="422" t="n">
        <v>45</v>
      </c>
      <c r="B47" s="424" t="inlineStr">
        <is>
          <t>H 運輸業、郵便業</t>
        </is>
      </c>
      <c r="C47" s="423" t="inlineStr">
        <is>
          <t>水運業</t>
        </is>
      </c>
      <c r="D47" s="424" t="inlineStr">
        <is>
          <t>製造業その他</t>
        </is>
      </c>
      <c r="E47" s="169" t="inlineStr">
        <is>
          <t>20人以下</t>
        </is>
      </c>
    </row>
    <row r="48">
      <c r="A48" s="422" t="n">
        <v>46</v>
      </c>
      <c r="B48" s="424" t="inlineStr">
        <is>
          <t>H 運輸業、郵便業</t>
        </is>
      </c>
      <c r="C48" s="423" t="inlineStr">
        <is>
          <t>航空運輸業</t>
        </is>
      </c>
      <c r="D48" s="424" t="inlineStr">
        <is>
          <t>製造業その他</t>
        </is>
      </c>
      <c r="E48" s="169" t="inlineStr">
        <is>
          <t>20人以下</t>
        </is>
      </c>
    </row>
    <row r="49">
      <c r="A49" s="422" t="n">
        <v>47</v>
      </c>
      <c r="B49" s="424" t="inlineStr">
        <is>
          <t>H 運輸業、郵便業</t>
        </is>
      </c>
      <c r="C49" s="423" t="inlineStr">
        <is>
          <t>倉庫業</t>
        </is>
      </c>
      <c r="D49" s="424" t="inlineStr">
        <is>
          <t>製造業その他</t>
        </is>
      </c>
      <c r="E49" s="169" t="inlineStr">
        <is>
          <t>20人以下</t>
        </is>
      </c>
    </row>
    <row r="50">
      <c r="A50" s="422" t="n">
        <v>48</v>
      </c>
      <c r="B50" s="424" t="inlineStr">
        <is>
          <t>H 運輸業、郵便業</t>
        </is>
      </c>
      <c r="C50" s="423" t="inlineStr">
        <is>
          <t>運輸に附帯するサービス業</t>
        </is>
      </c>
      <c r="D50" s="424" t="inlineStr">
        <is>
          <t>製造業その他</t>
        </is>
      </c>
      <c r="E50" s="169" t="inlineStr">
        <is>
          <t>20人以下</t>
        </is>
      </c>
    </row>
    <row r="51">
      <c r="A51" s="422" t="n">
        <v>49</v>
      </c>
      <c r="B51" s="424" t="inlineStr">
        <is>
          <t>H 運輸業、郵便業</t>
        </is>
      </c>
      <c r="C51" s="423" t="inlineStr">
        <is>
          <t>郵便業（信書便事業を含む）</t>
        </is>
      </c>
      <c r="D51" s="424" t="inlineStr">
        <is>
          <t>製造業その他</t>
        </is>
      </c>
      <c r="E51" s="169" t="inlineStr">
        <is>
          <t>20人以下</t>
        </is>
      </c>
    </row>
    <row r="52">
      <c r="A52" s="418" t="n">
        <v>50</v>
      </c>
      <c r="B52" s="430" t="inlineStr">
        <is>
          <t>I 卸売業・小売業</t>
        </is>
      </c>
      <c r="C52" s="420" t="inlineStr">
        <is>
          <t>各種商品卸売業</t>
        </is>
      </c>
      <c r="D52" s="430" t="inlineStr">
        <is>
          <t>商業サービス業</t>
        </is>
      </c>
      <c r="E52" s="169" t="inlineStr">
        <is>
          <t>5人以下</t>
        </is>
      </c>
    </row>
    <row r="53">
      <c r="A53" s="422" t="n">
        <v>51</v>
      </c>
      <c r="B53" s="430" t="inlineStr">
        <is>
          <t>I 卸売業・小売業</t>
        </is>
      </c>
      <c r="C53" s="423" t="inlineStr">
        <is>
          <t>繊維・衣服等卸売業</t>
        </is>
      </c>
      <c r="D53" s="430" t="inlineStr">
        <is>
          <t>商業サービス業</t>
        </is>
      </c>
      <c r="E53" s="169" t="inlineStr">
        <is>
          <t>5人以下</t>
        </is>
      </c>
    </row>
    <row r="54">
      <c r="A54" s="422" t="n">
        <v>52</v>
      </c>
      <c r="B54" s="430" t="inlineStr">
        <is>
          <t>I 卸売業・小売業</t>
        </is>
      </c>
      <c r="C54" s="423" t="inlineStr">
        <is>
          <t>飲食料品卸売業</t>
        </is>
      </c>
      <c r="D54" s="430" t="inlineStr">
        <is>
          <t>商業サービス業</t>
        </is>
      </c>
      <c r="E54" s="169" t="inlineStr">
        <is>
          <t>5人以下</t>
        </is>
      </c>
    </row>
    <row r="55">
      <c r="A55" s="422" t="n">
        <v>53</v>
      </c>
      <c r="B55" s="430" t="inlineStr">
        <is>
          <t>I 卸売業・小売業</t>
        </is>
      </c>
      <c r="C55" s="423" t="inlineStr">
        <is>
          <t>建築材料、鉱物・金属材料等卸売業</t>
        </is>
      </c>
      <c r="D55" s="430" t="inlineStr">
        <is>
          <t>商業サービス業</t>
        </is>
      </c>
      <c r="E55" s="169" t="inlineStr">
        <is>
          <t>5人以下</t>
        </is>
      </c>
    </row>
    <row r="56">
      <c r="A56" s="422" t="n">
        <v>54</v>
      </c>
      <c r="B56" s="430" t="inlineStr">
        <is>
          <t>I 卸売業・小売業</t>
        </is>
      </c>
      <c r="C56" s="423" t="inlineStr">
        <is>
          <t>機械器具卸売業</t>
        </is>
      </c>
      <c r="D56" s="430" t="inlineStr">
        <is>
          <t>商業サービス業</t>
        </is>
      </c>
      <c r="E56" s="169" t="inlineStr">
        <is>
          <t>5人以下</t>
        </is>
      </c>
    </row>
    <row r="57">
      <c r="A57" s="422" t="n">
        <v>55</v>
      </c>
      <c r="B57" s="430" t="inlineStr">
        <is>
          <t>I 卸売業・小売業</t>
        </is>
      </c>
      <c r="C57" s="423" t="inlineStr">
        <is>
          <t>その他の卸売業</t>
        </is>
      </c>
      <c r="D57" s="430" t="inlineStr">
        <is>
          <t>商業サービス業</t>
        </is>
      </c>
      <c r="E57" s="169" t="inlineStr">
        <is>
          <t>5人以下</t>
        </is>
      </c>
    </row>
    <row r="58">
      <c r="A58" s="422" t="n">
        <v>56</v>
      </c>
      <c r="B58" s="430" t="inlineStr">
        <is>
          <t>I 卸売業・小売業</t>
        </is>
      </c>
      <c r="C58" s="423" t="inlineStr">
        <is>
          <t>各種商品小売業</t>
        </is>
      </c>
      <c r="D58" s="430" t="inlineStr">
        <is>
          <t>商業サービス業</t>
        </is>
      </c>
      <c r="E58" s="169" t="inlineStr">
        <is>
          <t>5人以下</t>
        </is>
      </c>
    </row>
    <row r="59">
      <c r="A59" s="422" t="n">
        <v>57</v>
      </c>
      <c r="B59" s="430" t="inlineStr">
        <is>
          <t>I 卸売業・小売業</t>
        </is>
      </c>
      <c r="C59" s="423" t="inlineStr">
        <is>
          <t>織物・衣服・身の回り品小売業</t>
        </is>
      </c>
      <c r="D59" s="430" t="inlineStr">
        <is>
          <t>商業サービス業</t>
        </is>
      </c>
      <c r="E59" s="169" t="inlineStr">
        <is>
          <t>5人以下</t>
        </is>
      </c>
    </row>
    <row r="60">
      <c r="A60" s="422" t="n">
        <v>58</v>
      </c>
      <c r="B60" s="430" t="inlineStr">
        <is>
          <t>I 卸売業・小売業</t>
        </is>
      </c>
      <c r="C60" s="423" t="inlineStr">
        <is>
          <t>飲食料品小売業</t>
        </is>
      </c>
      <c r="D60" s="430" t="inlineStr">
        <is>
          <t>商業サービス業</t>
        </is>
      </c>
      <c r="E60" s="169" t="inlineStr">
        <is>
          <t>5人以下</t>
        </is>
      </c>
    </row>
    <row r="61">
      <c r="A61" s="422" t="n">
        <v>59</v>
      </c>
      <c r="B61" s="430" t="inlineStr">
        <is>
          <t>I 卸売業・小売業</t>
        </is>
      </c>
      <c r="C61" s="423" t="inlineStr">
        <is>
          <t>機械器具小売業</t>
        </is>
      </c>
      <c r="D61" s="430" t="inlineStr">
        <is>
          <t>商業サービス業</t>
        </is>
      </c>
      <c r="E61" s="169" t="inlineStr">
        <is>
          <t>5人以下</t>
        </is>
      </c>
    </row>
    <row r="62">
      <c r="A62" s="422" t="n">
        <v>60</v>
      </c>
      <c r="B62" s="430" t="inlineStr">
        <is>
          <t>I 卸売業・小売業</t>
        </is>
      </c>
      <c r="C62" s="423" t="inlineStr">
        <is>
          <t>その他の小売業</t>
        </is>
      </c>
      <c r="D62" s="430" t="inlineStr">
        <is>
          <t>商業サービス業</t>
        </is>
      </c>
      <c r="E62" s="169" t="inlineStr">
        <is>
          <t>5人以下</t>
        </is>
      </c>
    </row>
    <row r="63">
      <c r="A63" s="422" t="n">
        <v>61</v>
      </c>
      <c r="B63" s="430" t="inlineStr">
        <is>
          <t>I 卸売業・小売業</t>
        </is>
      </c>
      <c r="C63" s="423" t="inlineStr">
        <is>
          <t>無店舗小売業</t>
        </is>
      </c>
      <c r="D63" s="430" t="inlineStr">
        <is>
          <t>商業サービス業</t>
        </is>
      </c>
      <c r="E63" s="169" t="inlineStr">
        <is>
          <t>5人以下</t>
        </is>
      </c>
    </row>
    <row r="64">
      <c r="A64" s="422" t="n">
        <v>62</v>
      </c>
      <c r="B64" s="424" t="inlineStr">
        <is>
          <t>J 金融業・保険業</t>
        </is>
      </c>
      <c r="C64" s="423" t="inlineStr">
        <is>
          <t>銀行業</t>
        </is>
      </c>
      <c r="D64" s="424" t="inlineStr">
        <is>
          <t>製造業その他</t>
        </is>
      </c>
      <c r="E64" s="169" t="inlineStr">
        <is>
          <t>20人以下</t>
        </is>
      </c>
    </row>
    <row r="65">
      <c r="A65" s="422" t="n">
        <v>63</v>
      </c>
      <c r="B65" s="424" t="inlineStr">
        <is>
          <t>J 金融業・保険業</t>
        </is>
      </c>
      <c r="C65" s="423" t="inlineStr">
        <is>
          <t>協同組織金融業</t>
        </is>
      </c>
      <c r="D65" s="424" t="inlineStr">
        <is>
          <t>製造業その他</t>
        </is>
      </c>
      <c r="E65" s="169" t="inlineStr">
        <is>
          <t>20人以下</t>
        </is>
      </c>
    </row>
    <row r="66">
      <c r="A66" s="422" t="n">
        <v>64</v>
      </c>
      <c r="B66" s="424" t="inlineStr">
        <is>
          <t>J 金融業・保険業</t>
        </is>
      </c>
      <c r="C66" s="423" t="inlineStr">
        <is>
          <t>貸金業、クレジットカード業等非預金信用機関</t>
        </is>
      </c>
      <c r="D66" s="424" t="inlineStr">
        <is>
          <t>製造業その他</t>
        </is>
      </c>
      <c r="E66" s="169" t="inlineStr">
        <is>
          <t>20人以下</t>
        </is>
      </c>
    </row>
    <row r="67">
      <c r="A67" s="422" t="n">
        <v>65</v>
      </c>
      <c r="B67" s="424" t="inlineStr">
        <is>
          <t>J 金融業・保険業</t>
        </is>
      </c>
      <c r="C67" s="423" t="inlineStr">
        <is>
          <t>金融商品取引業、商品先物取引業</t>
        </is>
      </c>
      <c r="D67" s="424" t="inlineStr">
        <is>
          <t>製造業その他</t>
        </is>
      </c>
      <c r="E67" s="169" t="inlineStr">
        <is>
          <t>20人以下</t>
        </is>
      </c>
    </row>
    <row r="68">
      <c r="A68" s="422" t="n">
        <v>66</v>
      </c>
      <c r="B68" s="424" t="inlineStr">
        <is>
          <t>J 金融業・保険業</t>
        </is>
      </c>
      <c r="C68" s="423" t="inlineStr">
        <is>
          <t>補助的金融業等</t>
        </is>
      </c>
      <c r="D68" s="424" t="inlineStr">
        <is>
          <t>製造業その他</t>
        </is>
      </c>
      <c r="E68" s="169" t="inlineStr">
        <is>
          <t>20人以下</t>
        </is>
      </c>
    </row>
    <row r="69">
      <c r="A69" s="422" t="n">
        <v>67</v>
      </c>
      <c r="B69" s="424" t="inlineStr">
        <is>
          <t>J 金融業・保険業</t>
        </is>
      </c>
      <c r="C69" s="423" t="inlineStr">
        <is>
          <t>保険業（保険媒介代理業、保険サービス業を含む）</t>
        </is>
      </c>
      <c r="D69" s="424" t="inlineStr">
        <is>
          <t>製造業その他</t>
        </is>
      </c>
      <c r="E69" s="169" t="inlineStr">
        <is>
          <t>20人以下</t>
        </is>
      </c>
    </row>
    <row r="70">
      <c r="A70" s="422" t="n">
        <v>68</v>
      </c>
      <c r="B70" s="424" t="inlineStr">
        <is>
          <t>K 不動産業、物品賃貸業</t>
        </is>
      </c>
      <c r="C70" s="423" t="inlineStr">
        <is>
          <t>不動産取引業</t>
        </is>
      </c>
      <c r="D70" s="423" t="inlineStr">
        <is>
          <t>製造業その他</t>
        </is>
      </c>
      <c r="E70" s="169" t="inlineStr">
        <is>
          <t>20人以下</t>
        </is>
      </c>
    </row>
    <row r="71">
      <c r="A71" s="429" t="n">
        <v>69</v>
      </c>
      <c r="B71" s="424" t="inlineStr">
        <is>
          <t>K 不動産業、物品賃貸業</t>
        </is>
      </c>
      <c r="C71" s="427" t="inlineStr">
        <is>
          <t>不動産賃貸業・管理業
 693 駐車場業</t>
        </is>
      </c>
      <c r="D71" s="423" t="inlineStr">
        <is>
          <t>商業サービス業</t>
        </is>
      </c>
      <c r="E71" s="169" t="inlineStr">
        <is>
          <t>5人以下</t>
        </is>
      </c>
    </row>
    <row r="72">
      <c r="A72" s="429" t="n">
        <v>69</v>
      </c>
      <c r="B72" s="424" t="inlineStr">
        <is>
          <t>K 不動産業、物品賃貸業</t>
        </is>
      </c>
      <c r="C72" s="427" t="inlineStr">
        <is>
          <t>不動産賃貸業・管理業 693 駐車場業　以外</t>
        </is>
      </c>
      <c r="D72" s="423" t="inlineStr">
        <is>
          <t>製造業その他</t>
        </is>
      </c>
      <c r="E72" s="169" t="inlineStr">
        <is>
          <t>20人以下</t>
        </is>
      </c>
    </row>
    <row r="73">
      <c r="A73" s="422" t="n">
        <v>70</v>
      </c>
      <c r="B73" s="424" t="inlineStr">
        <is>
          <t>K 不動産業、物品賃貸業</t>
        </is>
      </c>
      <c r="C73" s="423" t="inlineStr">
        <is>
          <t>物品賃貸業</t>
        </is>
      </c>
      <c r="D73" s="423" t="inlineStr">
        <is>
          <t>商業サービス業</t>
        </is>
      </c>
      <c r="E73" s="169" t="inlineStr">
        <is>
          <t>5人以下</t>
        </is>
      </c>
    </row>
    <row r="74">
      <c r="A74" s="422" t="n">
        <v>71</v>
      </c>
      <c r="B74" s="424" t="inlineStr">
        <is>
          <t>L 学術研究、専門・技術サービス</t>
        </is>
      </c>
      <c r="C74" s="423" t="inlineStr">
        <is>
          <t>学術・開発研究機関</t>
        </is>
      </c>
      <c r="D74" s="424" t="inlineStr">
        <is>
          <t>商業サービス業</t>
        </is>
      </c>
      <c r="E74" s="169" t="inlineStr">
        <is>
          <t>5人以下</t>
        </is>
      </c>
    </row>
    <row r="75">
      <c r="A75" s="422" t="n">
        <v>72</v>
      </c>
      <c r="B75" s="424" t="inlineStr">
        <is>
          <t>L 学術研究、専門・技術サービス</t>
        </is>
      </c>
      <c r="C75" s="423" t="inlineStr">
        <is>
          <t>専門サービス業（他に分類されないもの）</t>
        </is>
      </c>
      <c r="D75" s="424" t="inlineStr">
        <is>
          <t>商業サービス業</t>
        </is>
      </c>
      <c r="E75" s="169" t="inlineStr">
        <is>
          <t>5人以下</t>
        </is>
      </c>
    </row>
    <row r="76">
      <c r="A76" s="422" t="n">
        <v>73</v>
      </c>
      <c r="B76" s="424" t="inlineStr">
        <is>
          <t>L 学術研究、専門・技術サービス</t>
        </is>
      </c>
      <c r="C76" s="423" t="inlineStr">
        <is>
          <t>広告業</t>
        </is>
      </c>
      <c r="D76" s="424" t="inlineStr">
        <is>
          <t>商業サービス業</t>
        </is>
      </c>
      <c r="E76" s="169" t="inlineStr">
        <is>
          <t>5人以下</t>
        </is>
      </c>
    </row>
    <row r="77">
      <c r="A77" s="422" t="n">
        <v>74</v>
      </c>
      <c r="B77" s="424" t="inlineStr">
        <is>
          <t>L 学術研究、専門・技術サービス</t>
        </is>
      </c>
      <c r="C77" s="427" t="inlineStr">
        <is>
          <t>技術サービス業（他に分類されないもの）</t>
        </is>
      </c>
      <c r="D77" s="424" t="inlineStr">
        <is>
          <t>商業サービス業</t>
        </is>
      </c>
      <c r="E77" s="169" t="inlineStr">
        <is>
          <t>5人以下</t>
        </is>
      </c>
    </row>
    <row r="78">
      <c r="A78" s="431" t="n">
        <v>75</v>
      </c>
      <c r="B78" s="424" t="inlineStr">
        <is>
          <t>M 宿泊業、飲食サービス業</t>
        </is>
      </c>
      <c r="C78" s="432" t="inlineStr">
        <is>
          <t>宿泊業</t>
        </is>
      </c>
      <c r="D78" s="433" t="inlineStr">
        <is>
          <t>商業サービス業</t>
        </is>
      </c>
      <c r="E78" s="169" t="inlineStr">
        <is>
          <t>20人以下</t>
        </is>
      </c>
    </row>
    <row r="79">
      <c r="A79" s="422" t="n">
        <v>76</v>
      </c>
      <c r="B79" s="424" t="inlineStr">
        <is>
          <t>M 宿泊業、飲食サービス業</t>
        </is>
      </c>
      <c r="C79" s="423" t="inlineStr">
        <is>
          <t>飲食店</t>
        </is>
      </c>
      <c r="D79" s="424" t="inlineStr">
        <is>
          <t>商業サービス業</t>
        </is>
      </c>
      <c r="E79" s="169" t="inlineStr">
        <is>
          <t>5人以下</t>
        </is>
      </c>
    </row>
    <row r="80">
      <c r="A80" s="422" t="n">
        <v>77</v>
      </c>
      <c r="B80" s="424" t="inlineStr">
        <is>
          <t>M 宿泊業、飲食サービス業</t>
        </is>
      </c>
      <c r="C80" s="423" t="inlineStr">
        <is>
          <t>持ち帰り・配達飲食サービス業</t>
        </is>
      </c>
      <c r="D80" s="424" t="inlineStr">
        <is>
          <t>商業サービス業</t>
        </is>
      </c>
      <c r="E80" s="169" t="inlineStr">
        <is>
          <t>5人以下</t>
        </is>
      </c>
    </row>
    <row r="81">
      <c r="A81" s="422" t="n">
        <v>78</v>
      </c>
      <c r="B81" s="424" t="inlineStr">
        <is>
          <t>N 生活関連サービス業、娯楽業</t>
        </is>
      </c>
      <c r="C81" s="423" t="inlineStr">
        <is>
          <t>洗濯・理容・美容・浴場業</t>
        </is>
      </c>
      <c r="D81" s="423" t="inlineStr">
        <is>
          <t>商業サービス業</t>
        </is>
      </c>
      <c r="E81" s="169" t="inlineStr">
        <is>
          <t>5人以下</t>
        </is>
      </c>
    </row>
    <row r="82">
      <c r="A82" s="429" t="n">
        <v>79</v>
      </c>
      <c r="B82" s="424" t="inlineStr">
        <is>
          <t>N 生活関連サービス業、娯楽業</t>
        </is>
      </c>
      <c r="C82" s="427" t="inlineStr">
        <is>
          <t>その他の生活関連サービス業
 791旅行業</t>
        </is>
      </c>
      <c r="D82" s="423" t="inlineStr">
        <is>
          <t>製造業その他</t>
        </is>
      </c>
      <c r="E82" s="169" t="inlineStr">
        <is>
          <t>20人以下</t>
        </is>
      </c>
    </row>
    <row r="83">
      <c r="A83" s="429" t="n">
        <v>79</v>
      </c>
      <c r="B83" s="424" t="inlineStr">
        <is>
          <t>N 生活関連サービス業、娯楽業</t>
        </is>
      </c>
      <c r="C83" s="427" t="inlineStr">
        <is>
          <t>その他の生活関連サービス業 791旅行業　以外</t>
        </is>
      </c>
      <c r="D83" s="423" t="inlineStr">
        <is>
          <t>商業サービス業</t>
        </is>
      </c>
      <c r="E83" s="169" t="inlineStr">
        <is>
          <t>5人以下</t>
        </is>
      </c>
    </row>
    <row r="84">
      <c r="A84" s="431" t="n">
        <v>80</v>
      </c>
      <c r="B84" s="424" t="inlineStr">
        <is>
          <t>N 生活関連サービス業、娯楽業</t>
        </is>
      </c>
      <c r="C84" s="432" t="inlineStr">
        <is>
          <t>娯楽業</t>
        </is>
      </c>
      <c r="D84" s="433" t="inlineStr">
        <is>
          <t>商業サービス業</t>
        </is>
      </c>
      <c r="E84" s="169" t="inlineStr">
        <is>
          <t>20人以下</t>
        </is>
      </c>
    </row>
    <row r="85">
      <c r="A85" s="422" t="n">
        <v>81</v>
      </c>
      <c r="B85" s="424" t="inlineStr">
        <is>
          <t>O 教育、学習支援業</t>
        </is>
      </c>
      <c r="C85" s="423" t="inlineStr">
        <is>
          <t>学校教育</t>
        </is>
      </c>
      <c r="D85" s="424" t="inlineStr">
        <is>
          <t>商業サービス業</t>
        </is>
      </c>
      <c r="E85" s="169" t="inlineStr">
        <is>
          <t>5人以下</t>
        </is>
      </c>
    </row>
    <row r="86">
      <c r="A86" s="422" t="n">
        <v>82</v>
      </c>
      <c r="B86" s="424" t="inlineStr">
        <is>
          <t>O 教育、学習支援業</t>
        </is>
      </c>
      <c r="C86" s="423" t="inlineStr">
        <is>
          <t>その他の教育、学習支援業</t>
        </is>
      </c>
      <c r="D86" s="424" t="inlineStr">
        <is>
          <t>商業サービス業</t>
        </is>
      </c>
      <c r="E86" s="169" t="inlineStr">
        <is>
          <t>5人以下</t>
        </is>
      </c>
    </row>
    <row r="87">
      <c r="A87" s="422" t="n">
        <v>83</v>
      </c>
      <c r="B87" s="424" t="inlineStr">
        <is>
          <t>P 医療、福祉</t>
        </is>
      </c>
      <c r="C87" s="423" t="inlineStr">
        <is>
          <t>医療業</t>
        </is>
      </c>
      <c r="D87" s="424" t="inlineStr">
        <is>
          <t>商業サービス業</t>
        </is>
      </c>
      <c r="E87" s="169" t="inlineStr">
        <is>
          <t>5人以下</t>
        </is>
      </c>
    </row>
    <row r="88">
      <c r="A88" s="422" t="n">
        <v>84</v>
      </c>
      <c r="B88" s="424" t="inlineStr">
        <is>
          <t>P 医療、福祉</t>
        </is>
      </c>
      <c r="C88" s="423" t="inlineStr">
        <is>
          <t>保健衛生</t>
        </is>
      </c>
      <c r="D88" s="424" t="inlineStr">
        <is>
          <t>商業サービス業</t>
        </is>
      </c>
      <c r="E88" s="169" t="inlineStr">
        <is>
          <t>5人以下</t>
        </is>
      </c>
    </row>
    <row r="89">
      <c r="A89" s="422" t="n">
        <v>85</v>
      </c>
      <c r="B89" s="424" t="inlineStr">
        <is>
          <t>P 医療、福祉</t>
        </is>
      </c>
      <c r="C89" s="423" t="inlineStr">
        <is>
          <t>社会保険・社会福祉・介護事業</t>
        </is>
      </c>
      <c r="D89" s="424" t="inlineStr">
        <is>
          <t>商業サービス業</t>
        </is>
      </c>
      <c r="E89" s="169" t="inlineStr">
        <is>
          <t>5人以下</t>
        </is>
      </c>
    </row>
    <row r="90">
      <c r="A90" s="422" t="n">
        <v>86</v>
      </c>
      <c r="B90" s="424" t="inlineStr">
        <is>
          <t>Q 複合サービス業</t>
        </is>
      </c>
      <c r="C90" s="423" t="inlineStr">
        <is>
          <t>郵便局</t>
        </is>
      </c>
      <c r="D90" s="424" t="inlineStr">
        <is>
          <t>商業サービス業</t>
        </is>
      </c>
      <c r="E90" s="169" t="inlineStr">
        <is>
          <t>5人以下</t>
        </is>
      </c>
    </row>
    <row r="91">
      <c r="A91" s="422" t="n">
        <v>87</v>
      </c>
      <c r="B91" s="424" t="inlineStr">
        <is>
          <t>Q 複合サービス業</t>
        </is>
      </c>
      <c r="C91" s="423" t="inlineStr">
        <is>
          <t>協同組合（他に分類されないもの）</t>
        </is>
      </c>
      <c r="D91" s="424" t="inlineStr">
        <is>
          <t>商業サービス業</t>
        </is>
      </c>
      <c r="E91" s="169" t="inlineStr">
        <is>
          <t>5人以下</t>
        </is>
      </c>
    </row>
    <row r="92">
      <c r="A92" s="422" t="n">
        <v>88</v>
      </c>
      <c r="B92" s="424" t="inlineStr">
        <is>
          <t>R サービス業（他に分類されないもの）</t>
        </is>
      </c>
      <c r="C92" s="423" t="inlineStr">
        <is>
          <t>廃棄物処理業</t>
        </is>
      </c>
      <c r="D92" s="424" t="inlineStr">
        <is>
          <t>商業サービス業</t>
        </is>
      </c>
      <c r="E92" s="169" t="inlineStr">
        <is>
          <t>5人以下</t>
        </is>
      </c>
    </row>
    <row r="93">
      <c r="A93" s="422" t="n">
        <v>89</v>
      </c>
      <c r="B93" s="424" t="inlineStr">
        <is>
          <t>R サービス業（他に分類されないもの）</t>
        </is>
      </c>
      <c r="C93" s="423" t="inlineStr">
        <is>
          <t>自動車整備業</t>
        </is>
      </c>
      <c r="D93" s="424" t="inlineStr">
        <is>
          <t>商業サービス業</t>
        </is>
      </c>
      <c r="E93" s="169" t="inlineStr">
        <is>
          <t>5人以下</t>
        </is>
      </c>
    </row>
    <row r="94">
      <c r="A94" s="422" t="n">
        <v>90</v>
      </c>
      <c r="B94" s="424" t="inlineStr">
        <is>
          <t>R サービス業（他に分類されないもの）</t>
        </is>
      </c>
      <c r="C94" s="423" t="inlineStr">
        <is>
          <t>機械等修理業（別掲を除く）</t>
        </is>
      </c>
      <c r="D94" s="424" t="inlineStr">
        <is>
          <t>商業サービス業</t>
        </is>
      </c>
      <c r="E94" s="169" t="inlineStr">
        <is>
          <t>5人以下</t>
        </is>
      </c>
    </row>
    <row r="95">
      <c r="A95" s="422" t="n">
        <v>91</v>
      </c>
      <c r="B95" s="424" t="inlineStr">
        <is>
          <t>R サービス業（他に分類されないもの）</t>
        </is>
      </c>
      <c r="C95" s="423" t="inlineStr">
        <is>
          <t>職業紹介・労働者派遣業</t>
        </is>
      </c>
      <c r="D95" s="424" t="inlineStr">
        <is>
          <t>商業サービス業</t>
        </is>
      </c>
      <c r="E95" s="169" t="inlineStr">
        <is>
          <t>5人以下</t>
        </is>
      </c>
    </row>
    <row r="96">
      <c r="A96" s="422" t="n">
        <v>92</v>
      </c>
      <c r="B96" s="424" t="inlineStr">
        <is>
          <t>R サービス業（他に分類されないもの）</t>
        </is>
      </c>
      <c r="C96" s="423" t="inlineStr">
        <is>
          <t>その他の事業サービス業</t>
        </is>
      </c>
      <c r="D96" s="424" t="inlineStr">
        <is>
          <t>商業サービス業</t>
        </is>
      </c>
      <c r="E96" s="169" t="inlineStr">
        <is>
          <t>5人以下</t>
        </is>
      </c>
    </row>
    <row r="97">
      <c r="A97" s="422" t="n">
        <v>93</v>
      </c>
      <c r="B97" s="424" t="inlineStr">
        <is>
          <t>R サービス業（他に分類されないもの）</t>
        </is>
      </c>
      <c r="C97" s="423" t="inlineStr">
        <is>
          <t>政治・経済・文化団体</t>
        </is>
      </c>
      <c r="D97" s="513" t="inlineStr">
        <is>
          <t>支給対象外</t>
        </is>
      </c>
      <c r="E97" s="169" t="n"/>
    </row>
    <row r="98">
      <c r="A98" s="422" t="n">
        <v>94</v>
      </c>
      <c r="B98" s="424" t="inlineStr">
        <is>
          <t>R サービス業（他に分類されないもの）</t>
        </is>
      </c>
      <c r="C98" s="423" t="inlineStr">
        <is>
          <t>宗教</t>
        </is>
      </c>
      <c r="D98" s="501" t="n"/>
      <c r="E98" s="169" t="n"/>
    </row>
    <row r="99">
      <c r="A99" s="422" t="n">
        <v>95</v>
      </c>
      <c r="B99" s="424" t="inlineStr">
        <is>
          <t>R サービス業（他に分類されないもの）</t>
        </is>
      </c>
      <c r="C99" s="423" t="inlineStr">
        <is>
          <t>その他のサービス業</t>
        </is>
      </c>
      <c r="D99" s="501" t="n"/>
      <c r="E99" s="169" t="n"/>
    </row>
    <row r="100">
      <c r="A100" s="422" t="n">
        <v>96</v>
      </c>
      <c r="B100" s="424" t="inlineStr">
        <is>
          <t>S 公務（他に分類されるものを除く）</t>
        </is>
      </c>
      <c r="C100" s="423" t="inlineStr">
        <is>
          <t>外国公務</t>
        </is>
      </c>
      <c r="D100" s="501" t="n"/>
      <c r="E100" s="169" t="n"/>
    </row>
    <row r="101">
      <c r="A101" s="422" t="n">
        <v>97</v>
      </c>
      <c r="B101" s="424" t="inlineStr">
        <is>
          <t>S 公務（他に分類されるものを除く）</t>
        </is>
      </c>
      <c r="C101" s="423" t="inlineStr">
        <is>
          <t>国家公務</t>
        </is>
      </c>
      <c r="D101" s="501" t="n"/>
      <c r="E101" s="169" t="n"/>
    </row>
    <row r="102">
      <c r="A102" s="422" t="n">
        <v>98</v>
      </c>
      <c r="B102" s="424" t="inlineStr">
        <is>
          <t>S 公務（他に分類されるものを除く）</t>
        </is>
      </c>
      <c r="C102" s="423" t="inlineStr">
        <is>
          <t>地方公務</t>
        </is>
      </c>
      <c r="D102" s="501" t="n"/>
      <c r="E102" s="169" t="n"/>
    </row>
    <row r="103">
      <c r="A103" s="422" t="n">
        <v>99</v>
      </c>
      <c r="B103" s="426" t="inlineStr">
        <is>
          <t>Ｔ 分類不能の産業</t>
        </is>
      </c>
      <c r="C103" s="423" t="inlineStr">
        <is>
          <t>分類不能の産業</t>
        </is>
      </c>
      <c r="D103" s="502" t="n"/>
      <c r="E103" s="169" t="n"/>
    </row>
    <row r="104">
      <c r="A104" s="169" t="n"/>
      <c r="B104" s="169" t="n"/>
      <c r="C104" s="169" t="n"/>
      <c r="D104" s="169" t="n"/>
      <c r="E104" s="169" t="n"/>
    </row>
    <row r="105">
      <c r="A105" s="169" t="n"/>
      <c r="B105" s="169" t="n"/>
      <c r="C105" s="169" t="n"/>
      <c r="D105" s="169" t="n"/>
      <c r="E105" s="169" t="n"/>
    </row>
    <row r="106">
      <c r="A106" s="169" t="n"/>
      <c r="B106" s="169" t="n"/>
      <c r="C106" s="169" t="n"/>
      <c r="D106" s="169" t="n"/>
      <c r="E106" s="169" t="n"/>
    </row>
    <row r="107">
      <c r="A107" s="169" t="n"/>
      <c r="B107" s="169" t="n"/>
      <c r="C107" s="169" t="n"/>
      <c r="D107" s="169" t="n"/>
      <c r="E107" s="169" t="n"/>
    </row>
    <row r="108">
      <c r="A108" s="169" t="n"/>
      <c r="B108" s="169" t="n"/>
      <c r="C108" s="169" t="n"/>
      <c r="D108" s="169" t="n"/>
      <c r="E108" s="169" t="n"/>
    </row>
    <row r="109">
      <c r="A109" s="169" t="n"/>
      <c r="B109" s="169" t="n"/>
      <c r="C109" s="169" t="n"/>
      <c r="D109" s="169" t="n"/>
      <c r="E109" s="169" t="n"/>
    </row>
    <row r="110">
      <c r="A110" s="169" t="n"/>
      <c r="B110" s="169" t="n"/>
      <c r="C110" s="169" t="n"/>
      <c r="D110" s="169" t="n"/>
      <c r="E110" s="169" t="n"/>
    </row>
    <row r="111">
      <c r="A111" s="169" t="n"/>
      <c r="B111" s="169" t="n"/>
      <c r="C111" s="169" t="n"/>
      <c r="D111" s="169" t="n"/>
      <c r="E111" s="169" t="n"/>
    </row>
    <row r="112">
      <c r="A112" s="169" t="n"/>
      <c r="B112" s="169" t="n"/>
      <c r="C112" s="169" t="n"/>
      <c r="D112" s="169" t="n"/>
      <c r="E112" s="169" t="n"/>
    </row>
    <row r="113">
      <c r="A113" s="169" t="n"/>
      <c r="B113" s="169" t="n"/>
      <c r="C113" s="169" t="n"/>
      <c r="D113" s="169" t="n"/>
      <c r="E113" s="169" t="n"/>
    </row>
    <row r="114">
      <c r="A114" s="169" t="n"/>
      <c r="B114" s="169" t="n"/>
      <c r="C114" s="169" t="n"/>
      <c r="D114" s="169" t="n"/>
      <c r="E114" s="169" t="n"/>
    </row>
    <row r="115">
      <c r="A115" s="169" t="n"/>
      <c r="B115" s="169" t="n"/>
      <c r="C115" s="169" t="n"/>
      <c r="D115" s="169" t="n"/>
      <c r="E115" s="169" t="n"/>
    </row>
    <row r="116">
      <c r="A116" s="169" t="n"/>
      <c r="B116" s="169" t="n"/>
      <c r="C116" s="169" t="n"/>
      <c r="D116" s="169" t="n"/>
      <c r="E116" s="169" t="n"/>
    </row>
    <row r="117">
      <c r="A117" s="169" t="n"/>
      <c r="B117" s="169" t="n"/>
      <c r="C117" s="169" t="n"/>
      <c r="D117" s="169" t="n"/>
      <c r="E117" s="169" t="n"/>
    </row>
    <row r="118">
      <c r="A118" s="169" t="n"/>
      <c r="B118" s="169" t="n"/>
      <c r="C118" s="169" t="n"/>
      <c r="D118" s="169" t="n"/>
      <c r="E118" s="169" t="n"/>
    </row>
    <row r="119">
      <c r="A119" s="169" t="n"/>
      <c r="B119" s="169" t="n"/>
      <c r="C119" s="169" t="n"/>
      <c r="D119" s="169" t="n"/>
      <c r="E119" s="169" t="n"/>
    </row>
    <row r="120">
      <c r="A120" s="169" t="n"/>
      <c r="B120" s="169" t="n"/>
      <c r="C120" s="169" t="n"/>
      <c r="D120" s="169" t="n"/>
      <c r="E120" s="169" t="n"/>
    </row>
    <row r="121">
      <c r="A121" s="169" t="n"/>
      <c r="B121" s="169" t="n"/>
      <c r="C121" s="169" t="n"/>
      <c r="D121" s="169" t="n"/>
      <c r="E121" s="169" t="n"/>
    </row>
    <row r="122">
      <c r="A122" s="169" t="n"/>
      <c r="B122" s="169" t="n"/>
      <c r="C122" s="169" t="n"/>
      <c r="D122" s="169" t="n"/>
      <c r="E122" s="169" t="n"/>
    </row>
    <row r="123">
      <c r="A123" s="169" t="n"/>
      <c r="B123" s="169" t="n"/>
      <c r="C123" s="169" t="n"/>
      <c r="D123" s="169" t="n"/>
      <c r="E123" s="169" t="n"/>
    </row>
    <row r="124">
      <c r="A124" s="169" t="n"/>
      <c r="B124" s="169" t="n"/>
      <c r="C124" s="169" t="n"/>
      <c r="D124" s="169" t="n"/>
      <c r="E124" s="169" t="n"/>
    </row>
    <row r="125">
      <c r="A125" s="169" t="n"/>
      <c r="B125" s="169" t="n"/>
      <c r="C125" s="169" t="n"/>
      <c r="D125" s="169" t="n"/>
      <c r="E125" s="169" t="n"/>
    </row>
    <row r="126">
      <c r="A126" s="169" t="n"/>
      <c r="B126" s="169" t="n"/>
      <c r="C126" s="169" t="n"/>
      <c r="D126" s="169" t="n"/>
      <c r="E126" s="169" t="n"/>
    </row>
    <row r="127">
      <c r="A127" s="169" t="n"/>
      <c r="B127" s="169" t="n"/>
      <c r="C127" s="169" t="n"/>
      <c r="D127" s="169" t="n"/>
      <c r="E127" s="169" t="n"/>
    </row>
    <row r="128">
      <c r="A128" s="169" t="n"/>
      <c r="B128" s="169" t="n"/>
      <c r="C128" s="169" t="n"/>
      <c r="D128" s="169" t="n"/>
      <c r="E128" s="169" t="n"/>
    </row>
    <row r="129">
      <c r="A129" s="169" t="n"/>
      <c r="B129" s="169" t="n"/>
      <c r="C129" s="169" t="n"/>
      <c r="D129" s="169" t="n"/>
      <c r="E129" s="169" t="n"/>
    </row>
    <row r="130">
      <c r="A130" s="169" t="n"/>
      <c r="B130" s="169" t="n"/>
      <c r="C130" s="169" t="n"/>
      <c r="D130" s="169" t="n"/>
      <c r="E130" s="169" t="n"/>
    </row>
    <row r="131">
      <c r="A131" s="169" t="n"/>
      <c r="B131" s="169" t="n"/>
      <c r="C131" s="169" t="n"/>
      <c r="D131" s="169" t="n"/>
      <c r="E131" s="169" t="n"/>
    </row>
    <row r="132">
      <c r="A132" s="169" t="n"/>
      <c r="B132" s="169" t="n"/>
      <c r="C132" s="169" t="n"/>
      <c r="D132" s="169" t="n"/>
      <c r="E132" s="169" t="n"/>
    </row>
    <row r="133">
      <c r="A133" s="169" t="n"/>
      <c r="B133" s="169" t="n"/>
      <c r="C133" s="169" t="n"/>
      <c r="D133" s="169" t="n"/>
      <c r="E133" s="169" t="n"/>
    </row>
    <row r="134">
      <c r="A134" s="169" t="n"/>
      <c r="B134" s="169" t="n"/>
      <c r="C134" s="169" t="n"/>
      <c r="D134" s="169" t="n"/>
      <c r="E134" s="169" t="n"/>
    </row>
    <row r="135">
      <c r="A135" s="169" t="n"/>
      <c r="B135" s="169" t="n"/>
      <c r="C135" s="169" t="n"/>
      <c r="D135" s="169" t="n"/>
      <c r="E135" s="169" t="n"/>
    </row>
    <row r="136">
      <c r="A136" s="169" t="n"/>
      <c r="B136" s="169" t="n"/>
      <c r="C136" s="169" t="n"/>
      <c r="D136" s="169" t="n"/>
      <c r="E136" s="169" t="n"/>
    </row>
    <row r="137">
      <c r="A137" s="169" t="n"/>
      <c r="B137" s="169" t="n"/>
      <c r="C137" s="169" t="n"/>
      <c r="D137" s="169" t="n"/>
      <c r="E137" s="169" t="n"/>
    </row>
    <row r="138">
      <c r="A138" s="169" t="n"/>
      <c r="B138" s="169" t="n"/>
      <c r="C138" s="169" t="n"/>
      <c r="D138" s="169" t="n"/>
      <c r="E138" s="169" t="n"/>
    </row>
    <row r="139">
      <c r="A139" s="169" t="n"/>
      <c r="B139" s="169" t="n"/>
      <c r="C139" s="169" t="n"/>
      <c r="D139" s="169" t="n"/>
      <c r="E139" s="169" t="n"/>
    </row>
    <row r="140">
      <c r="A140" s="169" t="n"/>
      <c r="B140" s="169" t="n"/>
      <c r="C140" s="169" t="n"/>
      <c r="D140" s="169" t="n"/>
      <c r="E140" s="169" t="n"/>
    </row>
    <row r="141">
      <c r="A141" s="169" t="n"/>
      <c r="B141" s="169" t="n"/>
      <c r="C141" s="169" t="n"/>
      <c r="D141" s="169" t="n"/>
      <c r="E141" s="169" t="n"/>
    </row>
    <row r="142">
      <c r="A142" s="169" t="n"/>
      <c r="B142" s="169" t="n"/>
      <c r="C142" s="169" t="n"/>
      <c r="D142" s="169" t="n"/>
      <c r="E142" s="169" t="n"/>
    </row>
    <row r="143">
      <c r="A143" s="169" t="n"/>
      <c r="B143" s="169" t="n"/>
      <c r="C143" s="169" t="n"/>
      <c r="D143" s="169" t="n"/>
      <c r="E143" s="169" t="n"/>
    </row>
    <row r="144">
      <c r="A144" s="169" t="n"/>
      <c r="B144" s="169" t="n"/>
      <c r="C144" s="169" t="n"/>
      <c r="D144" s="169" t="n"/>
      <c r="E144" s="169" t="n"/>
    </row>
    <row r="145">
      <c r="A145" s="169" t="n"/>
      <c r="B145" s="169" t="n"/>
      <c r="C145" s="169" t="n"/>
      <c r="D145" s="169" t="n"/>
      <c r="E145" s="169" t="n"/>
    </row>
    <row r="146">
      <c r="A146" s="169" t="n"/>
      <c r="B146" s="169" t="n"/>
      <c r="C146" s="169" t="n"/>
      <c r="D146" s="169" t="n"/>
      <c r="E146" s="169" t="n"/>
    </row>
    <row r="147">
      <c r="A147" s="169" t="n"/>
      <c r="B147" s="169" t="n"/>
      <c r="C147" s="169" t="n"/>
      <c r="D147" s="169" t="n"/>
      <c r="E147" s="169" t="n"/>
    </row>
    <row r="148">
      <c r="A148" s="169" t="n"/>
      <c r="B148" s="169" t="n"/>
      <c r="C148" s="169" t="n"/>
      <c r="D148" s="169" t="n"/>
      <c r="E148" s="169" t="n"/>
    </row>
    <row r="149">
      <c r="A149" s="169" t="n"/>
      <c r="B149" s="169" t="n"/>
      <c r="C149" s="169" t="n"/>
      <c r="D149" s="169" t="n"/>
      <c r="E149" s="169" t="n"/>
    </row>
    <row r="150">
      <c r="A150" s="169" t="n"/>
      <c r="B150" s="169" t="n"/>
      <c r="C150" s="169" t="n"/>
      <c r="D150" s="169" t="n"/>
      <c r="E150" s="169" t="n"/>
    </row>
    <row r="151">
      <c r="A151" s="169" t="n"/>
      <c r="B151" s="169" t="n"/>
      <c r="C151" s="169" t="n"/>
      <c r="D151" s="169" t="n"/>
      <c r="E151" s="169" t="n"/>
    </row>
    <row r="152">
      <c r="A152" s="169" t="n"/>
      <c r="B152" s="169" t="n"/>
      <c r="C152" s="169" t="n"/>
      <c r="D152" s="169" t="n"/>
      <c r="E152" s="169" t="n"/>
    </row>
    <row r="153">
      <c r="A153" s="169" t="n"/>
      <c r="B153" s="169" t="n"/>
      <c r="C153" s="169" t="n"/>
      <c r="D153" s="169" t="n"/>
      <c r="E153" s="169" t="n"/>
    </row>
    <row r="154">
      <c r="A154" s="169" t="n"/>
      <c r="B154" s="169" t="n"/>
      <c r="C154" s="169" t="n"/>
      <c r="D154" s="169" t="n"/>
      <c r="E154" s="169" t="n"/>
    </row>
    <row r="155">
      <c r="A155" s="169" t="n"/>
      <c r="B155" s="169" t="n"/>
      <c r="C155" s="169" t="n"/>
      <c r="D155" s="169" t="n"/>
      <c r="E155" s="169" t="n"/>
    </row>
    <row r="156">
      <c r="A156" s="169" t="n"/>
      <c r="B156" s="169" t="n"/>
      <c r="C156" s="169" t="n"/>
      <c r="D156" s="169" t="n"/>
      <c r="E156" s="169" t="n"/>
    </row>
    <row r="157">
      <c r="A157" s="169" t="n"/>
      <c r="B157" s="169" t="n"/>
      <c r="C157" s="169" t="n"/>
      <c r="D157" s="169" t="n"/>
      <c r="E157" s="169" t="n"/>
    </row>
    <row r="158">
      <c r="A158" s="169" t="n"/>
      <c r="B158" s="169" t="n"/>
      <c r="C158" s="169" t="n"/>
      <c r="D158" s="169" t="n"/>
      <c r="E158" s="169" t="n"/>
    </row>
    <row r="159">
      <c r="A159" s="169" t="n"/>
      <c r="B159" s="169" t="n"/>
      <c r="C159" s="169" t="n"/>
      <c r="D159" s="169" t="n"/>
      <c r="E159" s="169" t="n"/>
    </row>
    <row r="160">
      <c r="A160" s="169" t="n"/>
      <c r="B160" s="169" t="n"/>
      <c r="C160" s="169" t="n"/>
      <c r="D160" s="169" t="n"/>
      <c r="E160" s="169" t="n"/>
    </row>
    <row r="161">
      <c r="A161" s="169" t="n"/>
      <c r="B161" s="169" t="n"/>
      <c r="C161" s="169" t="n"/>
      <c r="D161" s="169" t="n"/>
      <c r="E161" s="169" t="n"/>
    </row>
    <row r="162">
      <c r="A162" s="169" t="n"/>
      <c r="B162" s="169" t="n"/>
      <c r="C162" s="169" t="n"/>
      <c r="D162" s="169" t="n"/>
      <c r="E162" s="169" t="n"/>
    </row>
    <row r="163">
      <c r="A163" s="169" t="n"/>
      <c r="B163" s="169" t="n"/>
      <c r="C163" s="169" t="n"/>
      <c r="D163" s="169" t="n"/>
      <c r="E163" s="169" t="n"/>
    </row>
    <row r="164">
      <c r="A164" s="169" t="n"/>
      <c r="B164" s="169" t="n"/>
      <c r="C164" s="169" t="n"/>
      <c r="D164" s="169" t="n"/>
      <c r="E164" s="169" t="n"/>
    </row>
    <row r="165">
      <c r="A165" s="169" t="n"/>
      <c r="B165" s="169" t="n"/>
      <c r="C165" s="169" t="n"/>
      <c r="D165" s="169" t="n"/>
      <c r="E165" s="169" t="n"/>
    </row>
    <row r="166">
      <c r="A166" s="169" t="n"/>
      <c r="B166" s="169" t="n"/>
      <c r="C166" s="169" t="n"/>
      <c r="D166" s="169" t="n"/>
      <c r="E166" s="169" t="n"/>
    </row>
    <row r="167">
      <c r="A167" s="169" t="n"/>
      <c r="B167" s="169" t="n"/>
      <c r="C167" s="169" t="n"/>
      <c r="D167" s="169" t="n"/>
      <c r="E167" s="169" t="n"/>
    </row>
    <row r="168">
      <c r="A168" s="169" t="n"/>
      <c r="B168" s="169" t="n"/>
      <c r="C168" s="169" t="n"/>
      <c r="D168" s="169" t="n"/>
      <c r="E168" s="169" t="n"/>
    </row>
    <row r="169">
      <c r="A169" s="169" t="n"/>
      <c r="B169" s="169" t="n"/>
      <c r="C169" s="169" t="n"/>
      <c r="D169" s="169" t="n"/>
      <c r="E169" s="169" t="n"/>
    </row>
    <row r="170">
      <c r="A170" s="169" t="n"/>
      <c r="B170" s="169" t="n"/>
      <c r="C170" s="169" t="n"/>
      <c r="D170" s="169" t="n"/>
      <c r="E170" s="169" t="n"/>
    </row>
    <row r="171">
      <c r="A171" s="169" t="n"/>
      <c r="B171" s="169" t="n"/>
      <c r="C171" s="169" t="n"/>
      <c r="D171" s="169" t="n"/>
      <c r="E171" s="169" t="n"/>
    </row>
    <row r="172">
      <c r="A172" s="169" t="n"/>
      <c r="B172" s="169" t="n"/>
      <c r="C172" s="169" t="n"/>
      <c r="D172" s="169" t="n"/>
      <c r="E172" s="169" t="n"/>
    </row>
    <row r="173">
      <c r="A173" s="169" t="n"/>
      <c r="B173" s="169" t="n"/>
      <c r="C173" s="169" t="n"/>
      <c r="D173" s="169" t="n"/>
      <c r="E173" s="169" t="n"/>
    </row>
    <row r="174">
      <c r="A174" s="169" t="n"/>
      <c r="B174" s="169" t="n"/>
      <c r="C174" s="169" t="n"/>
      <c r="D174" s="169" t="n"/>
      <c r="E174" s="169" t="n"/>
    </row>
    <row r="175">
      <c r="A175" s="169" t="n"/>
      <c r="B175" s="169" t="n"/>
      <c r="C175" s="169" t="n"/>
      <c r="D175" s="169" t="n"/>
      <c r="E175" s="169" t="n"/>
    </row>
    <row r="176">
      <c r="A176" s="169" t="n"/>
      <c r="B176" s="169" t="n"/>
      <c r="C176" s="169" t="n"/>
      <c r="D176" s="169" t="n"/>
      <c r="E176" s="169" t="n"/>
    </row>
    <row r="177">
      <c r="A177" s="169" t="n"/>
      <c r="B177" s="169" t="n"/>
      <c r="C177" s="169" t="n"/>
      <c r="D177" s="169" t="n"/>
      <c r="E177" s="169" t="n"/>
    </row>
    <row r="178">
      <c r="A178" s="169" t="n"/>
      <c r="B178" s="169" t="n"/>
      <c r="C178" s="169" t="n"/>
      <c r="D178" s="169" t="n"/>
      <c r="E178" s="169" t="n"/>
    </row>
    <row r="179">
      <c r="A179" s="169" t="n"/>
      <c r="B179" s="169" t="n"/>
      <c r="C179" s="169" t="n"/>
      <c r="D179" s="169" t="n"/>
      <c r="E179" s="169" t="n"/>
    </row>
    <row r="180">
      <c r="A180" s="169" t="n"/>
      <c r="B180" s="169" t="n"/>
      <c r="C180" s="169" t="n"/>
      <c r="D180" s="169" t="n"/>
      <c r="E180" s="169" t="n"/>
    </row>
    <row r="181">
      <c r="A181" s="169" t="n"/>
      <c r="B181" s="169" t="n"/>
      <c r="C181" s="169" t="n"/>
      <c r="D181" s="169" t="n"/>
      <c r="E181" s="169" t="n"/>
    </row>
    <row r="182">
      <c r="A182" s="169" t="n"/>
      <c r="B182" s="169" t="n"/>
      <c r="C182" s="169" t="n"/>
      <c r="D182" s="169" t="n"/>
      <c r="E182" s="169" t="n"/>
    </row>
    <row r="183">
      <c r="A183" s="169" t="n"/>
      <c r="B183" s="169" t="n"/>
      <c r="C183" s="169" t="n"/>
      <c r="D183" s="169" t="n"/>
      <c r="E183" s="169" t="n"/>
    </row>
    <row r="184">
      <c r="A184" s="169" t="n"/>
      <c r="B184" s="169" t="n"/>
      <c r="C184" s="169" t="n"/>
      <c r="D184" s="169" t="n"/>
      <c r="E184" s="169" t="n"/>
    </row>
    <row r="185">
      <c r="A185" s="169" t="n"/>
      <c r="B185" s="169" t="n"/>
      <c r="C185" s="169" t="n"/>
      <c r="D185" s="169" t="n"/>
      <c r="E185" s="169" t="n"/>
    </row>
    <row r="186">
      <c r="A186" s="169" t="n"/>
      <c r="B186" s="169" t="n"/>
      <c r="C186" s="169" t="n"/>
      <c r="D186" s="169" t="n"/>
      <c r="E186" s="169" t="n"/>
    </row>
    <row r="187">
      <c r="A187" s="169" t="n"/>
      <c r="B187" s="169" t="n"/>
      <c r="C187" s="169" t="n"/>
      <c r="D187" s="169" t="n"/>
      <c r="E187" s="169" t="n"/>
    </row>
    <row r="188">
      <c r="A188" s="169" t="n"/>
      <c r="B188" s="169" t="n"/>
      <c r="C188" s="169" t="n"/>
      <c r="D188" s="169" t="n"/>
      <c r="E188" s="169" t="n"/>
    </row>
    <row r="189">
      <c r="A189" s="169" t="n"/>
      <c r="B189" s="169" t="n"/>
      <c r="C189" s="169" t="n"/>
      <c r="D189" s="169" t="n"/>
      <c r="E189" s="169" t="n"/>
    </row>
    <row r="190">
      <c r="A190" s="169" t="n"/>
      <c r="B190" s="169" t="n"/>
      <c r="C190" s="169" t="n"/>
      <c r="D190" s="169" t="n"/>
      <c r="E190" s="169" t="n"/>
    </row>
    <row r="191">
      <c r="A191" s="169" t="n"/>
      <c r="B191" s="169" t="n"/>
      <c r="C191" s="169" t="n"/>
      <c r="D191" s="169" t="n"/>
      <c r="E191" s="169" t="n"/>
    </row>
    <row r="192">
      <c r="A192" s="169" t="n"/>
      <c r="B192" s="169" t="n"/>
      <c r="C192" s="169" t="n"/>
      <c r="D192" s="169" t="n"/>
      <c r="E192" s="169" t="n"/>
    </row>
    <row r="193">
      <c r="A193" s="169" t="n"/>
      <c r="B193" s="169" t="n"/>
      <c r="C193" s="169" t="n"/>
      <c r="D193" s="169" t="n"/>
      <c r="E193" s="169" t="n"/>
    </row>
    <row r="194">
      <c r="A194" s="169" t="n"/>
      <c r="B194" s="169" t="n"/>
      <c r="C194" s="169" t="n"/>
      <c r="D194" s="169" t="n"/>
      <c r="E194" s="169" t="n"/>
    </row>
    <row r="195">
      <c r="A195" s="169" t="n"/>
      <c r="B195" s="169" t="n"/>
      <c r="C195" s="169" t="n"/>
      <c r="D195" s="169" t="n"/>
      <c r="E195" s="169" t="n"/>
    </row>
    <row r="196">
      <c r="A196" s="169" t="n"/>
      <c r="B196" s="169" t="n"/>
      <c r="C196" s="169" t="n"/>
      <c r="D196" s="169" t="n"/>
      <c r="E196" s="169" t="n"/>
    </row>
    <row r="197">
      <c r="A197" s="169" t="n"/>
      <c r="B197" s="169" t="n"/>
      <c r="C197" s="169" t="n"/>
      <c r="D197" s="169" t="n"/>
      <c r="E197" s="169" t="n"/>
    </row>
    <row r="198">
      <c r="A198" s="169" t="n"/>
      <c r="B198" s="169" t="n"/>
      <c r="C198" s="169" t="n"/>
      <c r="D198" s="169" t="n"/>
      <c r="E198" s="169" t="n"/>
    </row>
    <row r="199">
      <c r="A199" s="169" t="n"/>
      <c r="B199" s="169" t="n"/>
      <c r="C199" s="169" t="n"/>
      <c r="D199" s="169" t="n"/>
      <c r="E199" s="169" t="n"/>
    </row>
    <row r="200">
      <c r="A200" s="169" t="n"/>
      <c r="B200" s="169" t="n"/>
      <c r="C200" s="169" t="n"/>
      <c r="D200" s="169" t="n"/>
      <c r="E200" s="169" t="n"/>
    </row>
    <row r="201">
      <c r="A201" s="169" t="n"/>
      <c r="B201" s="169" t="n"/>
      <c r="C201" s="169" t="n"/>
      <c r="D201" s="169" t="n"/>
      <c r="E201" s="169" t="n"/>
    </row>
    <row r="202">
      <c r="A202" s="169" t="n"/>
      <c r="B202" s="169" t="n"/>
      <c r="C202" s="169" t="n"/>
      <c r="D202" s="169" t="n"/>
      <c r="E202" s="169" t="n"/>
    </row>
    <row r="203">
      <c r="A203" s="169" t="n"/>
      <c r="B203" s="169" t="n"/>
      <c r="C203" s="169" t="n"/>
      <c r="D203" s="169" t="n"/>
      <c r="E203" s="169" t="n"/>
    </row>
    <row r="204">
      <c r="A204" s="169" t="n"/>
      <c r="B204" s="169" t="n"/>
      <c r="C204" s="169" t="n"/>
      <c r="D204" s="169" t="n"/>
      <c r="E204" s="169" t="n"/>
    </row>
    <row r="205">
      <c r="A205" s="169" t="n"/>
      <c r="B205" s="169" t="n"/>
      <c r="C205" s="169" t="n"/>
      <c r="D205" s="169" t="n"/>
      <c r="E205" s="169" t="n"/>
    </row>
    <row r="206">
      <c r="A206" s="169" t="n"/>
      <c r="B206" s="169" t="n"/>
      <c r="C206" s="169" t="n"/>
      <c r="D206" s="169" t="n"/>
      <c r="E206" s="169" t="n"/>
    </row>
    <row r="207">
      <c r="A207" s="169" t="n"/>
      <c r="B207" s="169" t="n"/>
      <c r="C207" s="169" t="n"/>
      <c r="D207" s="169" t="n"/>
      <c r="E207" s="169" t="n"/>
    </row>
    <row r="208">
      <c r="A208" s="169" t="n"/>
      <c r="B208" s="169" t="n"/>
      <c r="C208" s="169" t="n"/>
      <c r="D208" s="169" t="n"/>
      <c r="E208" s="169" t="n"/>
    </row>
    <row r="209">
      <c r="A209" s="169" t="n"/>
      <c r="B209" s="169" t="n"/>
      <c r="C209" s="169" t="n"/>
      <c r="D209" s="169" t="n"/>
      <c r="E209" s="169" t="n"/>
    </row>
    <row r="210">
      <c r="A210" s="169" t="n"/>
      <c r="B210" s="169" t="n"/>
      <c r="C210" s="169" t="n"/>
      <c r="D210" s="169" t="n"/>
      <c r="E210" s="169" t="n"/>
    </row>
    <row r="211">
      <c r="A211" s="169" t="n"/>
      <c r="B211" s="169" t="n"/>
      <c r="C211" s="169" t="n"/>
      <c r="D211" s="169" t="n"/>
      <c r="E211" s="169" t="n"/>
    </row>
    <row r="212">
      <c r="A212" s="169" t="n"/>
      <c r="B212" s="169" t="n"/>
      <c r="C212" s="169" t="n"/>
      <c r="D212" s="169" t="n"/>
      <c r="E212" s="169" t="n"/>
    </row>
    <row r="213">
      <c r="A213" s="169" t="n"/>
      <c r="B213" s="169" t="n"/>
      <c r="C213" s="169" t="n"/>
      <c r="D213" s="169" t="n"/>
      <c r="E213" s="169" t="n"/>
    </row>
    <row r="214">
      <c r="A214" s="169" t="n"/>
      <c r="B214" s="169" t="n"/>
      <c r="C214" s="169" t="n"/>
      <c r="D214" s="169" t="n"/>
      <c r="E214" s="169" t="n"/>
    </row>
    <row r="215">
      <c r="A215" s="169" t="n"/>
      <c r="B215" s="169" t="n"/>
      <c r="C215" s="169" t="n"/>
      <c r="D215" s="169" t="n"/>
      <c r="E215" s="169" t="n"/>
    </row>
    <row r="216">
      <c r="A216" s="169" t="n"/>
      <c r="B216" s="169" t="n"/>
      <c r="C216" s="169" t="n"/>
      <c r="D216" s="169" t="n"/>
      <c r="E216" s="169" t="n"/>
    </row>
    <row r="217">
      <c r="A217" s="169" t="n"/>
      <c r="B217" s="169" t="n"/>
      <c r="C217" s="169" t="n"/>
      <c r="D217" s="169" t="n"/>
      <c r="E217" s="169" t="n"/>
    </row>
    <row r="218">
      <c r="A218" s="169" t="n"/>
      <c r="B218" s="169" t="n"/>
      <c r="C218" s="169" t="n"/>
      <c r="D218" s="169" t="n"/>
      <c r="E218" s="169" t="n"/>
    </row>
    <row r="219">
      <c r="A219" s="169" t="n"/>
      <c r="B219" s="169" t="n"/>
      <c r="C219" s="169" t="n"/>
      <c r="D219" s="169" t="n"/>
      <c r="E219" s="169" t="n"/>
    </row>
    <row r="220">
      <c r="A220" s="169" t="n"/>
      <c r="B220" s="169" t="n"/>
      <c r="C220" s="169" t="n"/>
      <c r="D220" s="169" t="n"/>
      <c r="E220" s="169" t="n"/>
    </row>
    <row r="221">
      <c r="A221" s="169" t="n"/>
      <c r="B221" s="169" t="n"/>
      <c r="C221" s="169" t="n"/>
      <c r="D221" s="169" t="n"/>
      <c r="E221" s="169" t="n"/>
    </row>
    <row r="222">
      <c r="A222" s="169" t="n"/>
      <c r="B222" s="169" t="n"/>
      <c r="C222" s="169" t="n"/>
      <c r="D222" s="169" t="n"/>
      <c r="E222" s="169" t="n"/>
    </row>
    <row r="223">
      <c r="A223" s="169" t="n"/>
      <c r="B223" s="169" t="n"/>
      <c r="C223" s="169" t="n"/>
      <c r="D223" s="169" t="n"/>
      <c r="E223" s="169" t="n"/>
    </row>
    <row r="224">
      <c r="A224" s="169" t="n"/>
      <c r="B224" s="169" t="n"/>
      <c r="C224" s="169" t="n"/>
      <c r="D224" s="169" t="n"/>
      <c r="E224" s="169" t="n"/>
    </row>
    <row r="225">
      <c r="A225" s="169" t="n"/>
      <c r="B225" s="169" t="n"/>
      <c r="C225" s="169" t="n"/>
      <c r="D225" s="169" t="n"/>
      <c r="E225" s="169" t="n"/>
    </row>
    <row r="226">
      <c r="A226" s="169" t="n"/>
      <c r="B226" s="169" t="n"/>
      <c r="C226" s="169" t="n"/>
      <c r="D226" s="169" t="n"/>
      <c r="E226" s="169" t="n"/>
    </row>
    <row r="227">
      <c r="A227" s="169" t="n"/>
      <c r="B227" s="169" t="n"/>
      <c r="C227" s="169" t="n"/>
      <c r="D227" s="169" t="n"/>
      <c r="E227" s="169" t="n"/>
    </row>
    <row r="228">
      <c r="A228" s="169" t="n"/>
      <c r="B228" s="169" t="n"/>
      <c r="C228" s="169" t="n"/>
      <c r="D228" s="169" t="n"/>
      <c r="E228" s="169" t="n"/>
    </row>
    <row r="229">
      <c r="A229" s="169" t="n"/>
      <c r="B229" s="169" t="n"/>
      <c r="C229" s="169" t="n"/>
      <c r="D229" s="169" t="n"/>
      <c r="E229" s="169" t="n"/>
    </row>
    <row r="230">
      <c r="A230" s="169" t="n"/>
      <c r="B230" s="169" t="n"/>
      <c r="C230" s="169" t="n"/>
      <c r="D230" s="169" t="n"/>
      <c r="E230" s="169" t="n"/>
    </row>
    <row r="231">
      <c r="A231" s="169" t="n"/>
      <c r="B231" s="169" t="n"/>
      <c r="C231" s="169" t="n"/>
      <c r="D231" s="169" t="n"/>
      <c r="E231" s="169" t="n"/>
    </row>
    <row r="232">
      <c r="A232" s="169" t="n"/>
      <c r="B232" s="169" t="n"/>
      <c r="C232" s="169" t="n"/>
      <c r="D232" s="169" t="n"/>
      <c r="E232" s="169" t="n"/>
    </row>
    <row r="233">
      <c r="A233" s="169" t="n"/>
      <c r="B233" s="169" t="n"/>
      <c r="C233" s="169" t="n"/>
      <c r="D233" s="169" t="n"/>
      <c r="E233" s="169" t="n"/>
    </row>
    <row r="234">
      <c r="A234" s="169" t="n"/>
      <c r="B234" s="169" t="n"/>
      <c r="C234" s="169" t="n"/>
      <c r="D234" s="169" t="n"/>
      <c r="E234" s="169" t="n"/>
    </row>
    <row r="235">
      <c r="A235" s="169" t="n"/>
      <c r="B235" s="169" t="n"/>
      <c r="C235" s="169" t="n"/>
      <c r="D235" s="169" t="n"/>
      <c r="E235" s="169" t="n"/>
    </row>
    <row r="236">
      <c r="A236" s="169" t="n"/>
      <c r="B236" s="169" t="n"/>
      <c r="C236" s="169" t="n"/>
      <c r="D236" s="169" t="n"/>
      <c r="E236" s="169" t="n"/>
    </row>
    <row r="237">
      <c r="A237" s="169" t="n"/>
      <c r="B237" s="169" t="n"/>
      <c r="C237" s="169" t="n"/>
      <c r="D237" s="169" t="n"/>
      <c r="E237" s="169" t="n"/>
    </row>
    <row r="238">
      <c r="A238" s="169" t="n"/>
      <c r="B238" s="169" t="n"/>
      <c r="C238" s="169" t="n"/>
      <c r="D238" s="169" t="n"/>
      <c r="E238" s="169" t="n"/>
    </row>
    <row r="239">
      <c r="A239" s="169" t="n"/>
      <c r="B239" s="169" t="n"/>
      <c r="C239" s="169" t="n"/>
      <c r="D239" s="169" t="n"/>
      <c r="E239" s="169" t="n"/>
    </row>
    <row r="240">
      <c r="A240" s="169" t="n"/>
      <c r="B240" s="169" t="n"/>
      <c r="C240" s="169" t="n"/>
      <c r="D240" s="169" t="n"/>
      <c r="E240" s="169" t="n"/>
    </row>
    <row r="241">
      <c r="A241" s="169" t="n"/>
      <c r="B241" s="169" t="n"/>
      <c r="C241" s="169" t="n"/>
      <c r="D241" s="169" t="n"/>
      <c r="E241" s="169" t="n"/>
    </row>
    <row r="242">
      <c r="A242" s="169" t="n"/>
      <c r="B242" s="169" t="n"/>
      <c r="C242" s="169" t="n"/>
      <c r="D242" s="169" t="n"/>
      <c r="E242" s="169" t="n"/>
    </row>
    <row r="243">
      <c r="A243" s="169" t="n"/>
      <c r="B243" s="169" t="n"/>
      <c r="C243" s="169" t="n"/>
      <c r="D243" s="169" t="n"/>
      <c r="E243" s="169" t="n"/>
    </row>
    <row r="244">
      <c r="A244" s="169" t="n"/>
      <c r="B244" s="169" t="n"/>
      <c r="C244" s="169" t="n"/>
      <c r="D244" s="169" t="n"/>
      <c r="E244" s="169" t="n"/>
    </row>
    <row r="245">
      <c r="A245" s="169" t="n"/>
      <c r="B245" s="169" t="n"/>
      <c r="C245" s="169" t="n"/>
      <c r="D245" s="169" t="n"/>
      <c r="E245" s="169" t="n"/>
    </row>
    <row r="246">
      <c r="A246" s="169" t="n"/>
      <c r="B246" s="169" t="n"/>
      <c r="C246" s="169" t="n"/>
      <c r="D246" s="169" t="n"/>
      <c r="E246" s="169" t="n"/>
    </row>
    <row r="247">
      <c r="A247" s="169" t="n"/>
      <c r="B247" s="169" t="n"/>
      <c r="C247" s="169" t="n"/>
      <c r="D247" s="169" t="n"/>
      <c r="E247" s="169" t="n"/>
    </row>
    <row r="248">
      <c r="A248" s="169" t="n"/>
      <c r="B248" s="169" t="n"/>
      <c r="C248" s="169" t="n"/>
      <c r="D248" s="169" t="n"/>
      <c r="E248" s="169" t="n"/>
    </row>
    <row r="249">
      <c r="A249" s="169" t="n"/>
      <c r="B249" s="169" t="n"/>
      <c r="C249" s="169" t="n"/>
      <c r="D249" s="169" t="n"/>
      <c r="E249" s="169" t="n"/>
    </row>
    <row r="250">
      <c r="A250" s="169" t="n"/>
      <c r="B250" s="169" t="n"/>
      <c r="C250" s="169" t="n"/>
      <c r="D250" s="169" t="n"/>
      <c r="E250" s="169" t="n"/>
    </row>
    <row r="251">
      <c r="A251" s="169" t="n"/>
      <c r="B251" s="169" t="n"/>
      <c r="C251" s="169" t="n"/>
      <c r="D251" s="169" t="n"/>
      <c r="E251" s="169" t="n"/>
    </row>
    <row r="252">
      <c r="A252" s="169" t="n"/>
      <c r="B252" s="169" t="n"/>
      <c r="C252" s="169" t="n"/>
      <c r="D252" s="169" t="n"/>
      <c r="E252" s="169" t="n"/>
    </row>
    <row r="253">
      <c r="A253" s="169" t="n"/>
      <c r="B253" s="169" t="n"/>
      <c r="C253" s="169" t="n"/>
      <c r="D253" s="169" t="n"/>
      <c r="E253" s="169" t="n"/>
    </row>
    <row r="254">
      <c r="A254" s="169" t="n"/>
      <c r="B254" s="169" t="n"/>
      <c r="C254" s="169" t="n"/>
      <c r="D254" s="169" t="n"/>
      <c r="E254" s="169" t="n"/>
    </row>
    <row r="255">
      <c r="A255" s="169" t="n"/>
      <c r="B255" s="169" t="n"/>
      <c r="C255" s="169" t="n"/>
      <c r="D255" s="169" t="n"/>
      <c r="E255" s="169" t="n"/>
    </row>
    <row r="256">
      <c r="A256" s="169" t="n"/>
      <c r="B256" s="169" t="n"/>
      <c r="C256" s="169" t="n"/>
      <c r="D256" s="169" t="n"/>
      <c r="E256" s="169" t="n"/>
    </row>
    <row r="257">
      <c r="A257" s="169" t="n"/>
      <c r="B257" s="169" t="n"/>
      <c r="C257" s="169" t="n"/>
      <c r="D257" s="169" t="n"/>
      <c r="E257" s="169" t="n"/>
    </row>
    <row r="258">
      <c r="A258" s="169" t="n"/>
      <c r="B258" s="169" t="n"/>
      <c r="C258" s="169" t="n"/>
      <c r="D258" s="169" t="n"/>
      <c r="E258" s="169" t="n"/>
    </row>
    <row r="259">
      <c r="A259" s="169" t="n"/>
      <c r="B259" s="169" t="n"/>
      <c r="C259" s="169" t="n"/>
      <c r="D259" s="169" t="n"/>
      <c r="E259" s="169" t="n"/>
    </row>
    <row r="260">
      <c r="A260" s="169" t="n"/>
      <c r="B260" s="169" t="n"/>
      <c r="C260" s="169" t="n"/>
      <c r="D260" s="169" t="n"/>
      <c r="E260" s="169" t="n"/>
    </row>
    <row r="261">
      <c r="A261" s="169" t="n"/>
      <c r="B261" s="169" t="n"/>
      <c r="C261" s="169" t="n"/>
      <c r="D261" s="169" t="n"/>
      <c r="E261" s="169" t="n"/>
    </row>
    <row r="262">
      <c r="A262" s="169" t="n"/>
      <c r="B262" s="169" t="n"/>
      <c r="C262" s="169" t="n"/>
      <c r="D262" s="169" t="n"/>
      <c r="E262" s="169" t="n"/>
    </row>
    <row r="263">
      <c r="A263" s="169" t="n"/>
      <c r="B263" s="169" t="n"/>
      <c r="C263" s="169" t="n"/>
      <c r="D263" s="169" t="n"/>
      <c r="E263" s="169" t="n"/>
    </row>
    <row r="264">
      <c r="A264" s="169" t="n"/>
      <c r="B264" s="169" t="n"/>
      <c r="C264" s="169" t="n"/>
      <c r="D264" s="169" t="n"/>
      <c r="E264" s="169" t="n"/>
    </row>
    <row r="265">
      <c r="A265" s="169" t="n"/>
      <c r="B265" s="169" t="n"/>
      <c r="C265" s="169" t="n"/>
      <c r="D265" s="169" t="n"/>
      <c r="E265" s="169" t="n"/>
    </row>
    <row r="266">
      <c r="A266" s="169" t="n"/>
      <c r="B266" s="169" t="n"/>
      <c r="C266" s="169" t="n"/>
      <c r="D266" s="169" t="n"/>
      <c r="E266" s="169" t="n"/>
    </row>
    <row r="267">
      <c r="A267" s="169" t="n"/>
      <c r="B267" s="169" t="n"/>
      <c r="C267" s="169" t="n"/>
      <c r="D267" s="169" t="n"/>
      <c r="E267" s="169" t="n"/>
    </row>
    <row r="268">
      <c r="A268" s="169" t="n"/>
      <c r="B268" s="169" t="n"/>
      <c r="C268" s="169" t="n"/>
      <c r="D268" s="169" t="n"/>
      <c r="E268" s="169" t="n"/>
    </row>
    <row r="269">
      <c r="A269" s="169" t="n"/>
      <c r="B269" s="169" t="n"/>
      <c r="C269" s="169" t="n"/>
      <c r="D269" s="169" t="n"/>
      <c r="E269" s="169" t="n"/>
    </row>
    <row r="270">
      <c r="A270" s="169" t="n"/>
      <c r="B270" s="169" t="n"/>
      <c r="C270" s="169" t="n"/>
      <c r="D270" s="169" t="n"/>
      <c r="E270" s="169" t="n"/>
    </row>
    <row r="271">
      <c r="A271" s="169" t="n"/>
      <c r="B271" s="169" t="n"/>
      <c r="C271" s="169" t="n"/>
      <c r="D271" s="169" t="n"/>
      <c r="E271" s="169" t="n"/>
    </row>
    <row r="272">
      <c r="A272" s="169" t="n"/>
      <c r="B272" s="169" t="n"/>
      <c r="C272" s="169" t="n"/>
      <c r="D272" s="169" t="n"/>
      <c r="E272" s="169" t="n"/>
    </row>
    <row r="273">
      <c r="A273" s="169" t="n"/>
      <c r="B273" s="169" t="n"/>
      <c r="C273" s="169" t="n"/>
      <c r="D273" s="169" t="n"/>
      <c r="E273" s="169" t="n"/>
    </row>
    <row r="274">
      <c r="A274" s="169" t="n"/>
      <c r="B274" s="169" t="n"/>
      <c r="C274" s="169" t="n"/>
      <c r="D274" s="169" t="n"/>
      <c r="E274" s="169" t="n"/>
    </row>
    <row r="275">
      <c r="A275" s="169" t="n"/>
      <c r="B275" s="169" t="n"/>
      <c r="C275" s="169" t="n"/>
      <c r="D275" s="169" t="n"/>
      <c r="E275" s="169" t="n"/>
    </row>
    <row r="276">
      <c r="A276" s="169" t="n"/>
      <c r="B276" s="169" t="n"/>
      <c r="C276" s="169" t="n"/>
      <c r="D276" s="169" t="n"/>
      <c r="E276" s="169" t="n"/>
    </row>
    <row r="277">
      <c r="A277" s="169" t="n"/>
      <c r="B277" s="169" t="n"/>
      <c r="C277" s="169" t="n"/>
      <c r="D277" s="169" t="n"/>
      <c r="E277" s="169" t="n"/>
    </row>
    <row r="278">
      <c r="A278" s="169" t="n"/>
      <c r="B278" s="169" t="n"/>
      <c r="C278" s="169" t="n"/>
      <c r="D278" s="169" t="n"/>
      <c r="E278" s="169" t="n"/>
    </row>
    <row r="279">
      <c r="A279" s="169" t="n"/>
      <c r="B279" s="169" t="n"/>
      <c r="C279" s="169" t="n"/>
      <c r="D279" s="169" t="n"/>
      <c r="E279" s="169" t="n"/>
    </row>
    <row r="280">
      <c r="A280" s="169" t="n"/>
      <c r="B280" s="169" t="n"/>
      <c r="C280" s="169" t="n"/>
      <c r="D280" s="169" t="n"/>
      <c r="E280" s="169" t="n"/>
    </row>
    <row r="281">
      <c r="A281" s="169" t="n"/>
      <c r="B281" s="169" t="n"/>
      <c r="C281" s="169" t="n"/>
      <c r="D281" s="169" t="n"/>
      <c r="E281" s="169" t="n"/>
    </row>
    <row r="282">
      <c r="A282" s="169" t="n"/>
      <c r="B282" s="169" t="n"/>
      <c r="C282" s="169" t="n"/>
      <c r="D282" s="169" t="n"/>
      <c r="E282" s="169" t="n"/>
    </row>
    <row r="283">
      <c r="A283" s="169" t="n"/>
      <c r="B283" s="169" t="n"/>
      <c r="C283" s="169" t="n"/>
      <c r="D283" s="169" t="n"/>
      <c r="E283" s="169" t="n"/>
    </row>
    <row r="284">
      <c r="A284" s="169" t="n"/>
      <c r="B284" s="169" t="n"/>
      <c r="C284" s="169" t="n"/>
      <c r="D284" s="169" t="n"/>
      <c r="E284" s="169" t="n"/>
    </row>
    <row r="285">
      <c r="A285" s="169" t="n"/>
      <c r="B285" s="169" t="n"/>
      <c r="C285" s="169" t="n"/>
      <c r="D285" s="169" t="n"/>
      <c r="E285" s="169" t="n"/>
    </row>
    <row r="286">
      <c r="A286" s="169" t="n"/>
      <c r="B286" s="169" t="n"/>
      <c r="C286" s="169" t="n"/>
      <c r="D286" s="169" t="n"/>
      <c r="E286" s="169" t="n"/>
    </row>
    <row r="287">
      <c r="A287" s="169" t="n"/>
      <c r="B287" s="169" t="n"/>
      <c r="C287" s="169" t="n"/>
      <c r="D287" s="169" t="n"/>
      <c r="E287" s="169" t="n"/>
    </row>
    <row r="288">
      <c r="A288" s="169" t="n"/>
      <c r="B288" s="169" t="n"/>
      <c r="C288" s="169" t="n"/>
      <c r="D288" s="169" t="n"/>
      <c r="E288" s="169" t="n"/>
    </row>
    <row r="289">
      <c r="A289" s="169" t="n"/>
      <c r="B289" s="169" t="n"/>
      <c r="C289" s="169" t="n"/>
      <c r="D289" s="169" t="n"/>
      <c r="E289" s="169" t="n"/>
    </row>
    <row r="290">
      <c r="A290" s="169" t="n"/>
      <c r="B290" s="169" t="n"/>
      <c r="C290" s="169" t="n"/>
      <c r="D290" s="169" t="n"/>
      <c r="E290" s="169" t="n"/>
    </row>
    <row r="291">
      <c r="A291" s="169" t="n"/>
      <c r="B291" s="169" t="n"/>
      <c r="C291" s="169" t="n"/>
      <c r="D291" s="169" t="n"/>
      <c r="E291" s="169" t="n"/>
    </row>
    <row r="292">
      <c r="A292" s="169" t="n"/>
      <c r="B292" s="169" t="n"/>
      <c r="C292" s="169" t="n"/>
      <c r="D292" s="169" t="n"/>
      <c r="E292" s="169" t="n"/>
    </row>
    <row r="293">
      <c r="A293" s="169" t="n"/>
      <c r="B293" s="169" t="n"/>
      <c r="C293" s="169" t="n"/>
      <c r="D293" s="169" t="n"/>
      <c r="E293" s="169" t="n"/>
    </row>
    <row r="294">
      <c r="A294" s="169" t="n"/>
      <c r="B294" s="169" t="n"/>
      <c r="C294" s="169" t="n"/>
      <c r="D294" s="169" t="n"/>
      <c r="E294" s="169" t="n"/>
    </row>
    <row r="295">
      <c r="A295" s="169" t="n"/>
      <c r="B295" s="169" t="n"/>
      <c r="C295" s="169" t="n"/>
      <c r="D295" s="169" t="n"/>
      <c r="E295" s="169" t="n"/>
    </row>
    <row r="296">
      <c r="A296" s="169" t="n"/>
      <c r="B296" s="169" t="n"/>
      <c r="C296" s="169" t="n"/>
      <c r="D296" s="169" t="n"/>
      <c r="E296" s="169" t="n"/>
    </row>
    <row r="297">
      <c r="A297" s="169" t="n"/>
      <c r="B297" s="169" t="n"/>
      <c r="C297" s="169" t="n"/>
      <c r="D297" s="169" t="n"/>
      <c r="E297" s="169" t="n"/>
    </row>
    <row r="298">
      <c r="A298" s="169" t="n"/>
      <c r="B298" s="169" t="n"/>
      <c r="C298" s="169" t="n"/>
      <c r="D298" s="169" t="n"/>
      <c r="E298" s="169" t="n"/>
    </row>
    <row r="299">
      <c r="A299" s="169" t="n"/>
      <c r="B299" s="169" t="n"/>
      <c r="C299" s="169" t="n"/>
      <c r="D299" s="169" t="n"/>
      <c r="E299" s="169" t="n"/>
    </row>
    <row r="300">
      <c r="A300" s="169" t="n"/>
      <c r="B300" s="169" t="n"/>
      <c r="C300" s="169" t="n"/>
      <c r="D300" s="169" t="n"/>
      <c r="E300" s="169" t="n"/>
    </row>
    <row r="301">
      <c r="A301" s="169" t="n"/>
      <c r="B301" s="169" t="n"/>
      <c r="C301" s="169" t="n"/>
      <c r="D301" s="169" t="n"/>
      <c r="E301" s="169" t="n"/>
    </row>
    <row r="302">
      <c r="A302" s="169" t="n"/>
      <c r="B302" s="169" t="n"/>
      <c r="C302" s="169" t="n"/>
      <c r="D302" s="169" t="n"/>
      <c r="E302" s="169" t="n"/>
    </row>
    <row r="303">
      <c r="A303" s="169" t="n"/>
      <c r="B303" s="169" t="n"/>
      <c r="C303" s="169" t="n"/>
      <c r="D303" s="169" t="n"/>
      <c r="E303" s="169" t="n"/>
    </row>
    <row r="304">
      <c r="A304" s="169" t="n"/>
      <c r="B304" s="169" t="n"/>
      <c r="C304" s="169" t="n"/>
      <c r="D304" s="169" t="n"/>
      <c r="E304" s="169" t="n"/>
    </row>
    <row r="305">
      <c r="A305" s="169" t="n"/>
      <c r="B305" s="169" t="n"/>
      <c r="C305" s="169" t="n"/>
      <c r="D305" s="169" t="n"/>
      <c r="E305" s="169" t="n"/>
    </row>
    <row r="306">
      <c r="A306" s="169" t="n"/>
      <c r="B306" s="169" t="n"/>
      <c r="C306" s="169" t="n"/>
      <c r="D306" s="169" t="n"/>
      <c r="E306" s="169" t="n"/>
    </row>
    <row r="307">
      <c r="A307" s="169" t="n"/>
      <c r="B307" s="169" t="n"/>
      <c r="C307" s="169" t="n"/>
      <c r="D307" s="169" t="n"/>
      <c r="E307" s="169" t="n"/>
    </row>
    <row r="308">
      <c r="A308" s="169" t="n"/>
      <c r="B308" s="169" t="n"/>
      <c r="C308" s="169" t="n"/>
      <c r="D308" s="169" t="n"/>
      <c r="E308" s="169" t="n"/>
    </row>
    <row r="309">
      <c r="A309" s="169" t="n"/>
      <c r="B309" s="169" t="n"/>
      <c r="C309" s="169" t="n"/>
      <c r="D309" s="169" t="n"/>
      <c r="E309" s="169" t="n"/>
    </row>
    <row r="310">
      <c r="A310" s="169" t="n"/>
      <c r="B310" s="169" t="n"/>
      <c r="C310" s="169" t="n"/>
      <c r="D310" s="169" t="n"/>
      <c r="E310" s="169" t="n"/>
    </row>
    <row r="311">
      <c r="A311" s="169" t="n"/>
      <c r="B311" s="169" t="n"/>
      <c r="C311" s="169" t="n"/>
      <c r="D311" s="169" t="n"/>
      <c r="E311" s="169" t="n"/>
    </row>
    <row r="312">
      <c r="A312" s="169" t="n"/>
      <c r="B312" s="169" t="n"/>
      <c r="C312" s="169" t="n"/>
      <c r="D312" s="169" t="n"/>
      <c r="E312" s="169" t="n"/>
    </row>
    <row r="313">
      <c r="A313" s="169" t="n"/>
      <c r="B313" s="169" t="n"/>
      <c r="C313" s="169" t="n"/>
      <c r="D313" s="169" t="n"/>
      <c r="E313" s="169" t="n"/>
    </row>
    <row r="314">
      <c r="A314" s="169" t="n"/>
      <c r="B314" s="169" t="n"/>
      <c r="C314" s="169" t="n"/>
      <c r="D314" s="169" t="n"/>
      <c r="E314" s="169" t="n"/>
    </row>
    <row r="315">
      <c r="A315" s="169" t="n"/>
      <c r="B315" s="169" t="n"/>
      <c r="C315" s="169" t="n"/>
      <c r="D315" s="169" t="n"/>
      <c r="E315" s="169" t="n"/>
    </row>
    <row r="316">
      <c r="A316" s="169" t="n"/>
      <c r="B316" s="169" t="n"/>
      <c r="C316" s="169" t="n"/>
      <c r="D316" s="169" t="n"/>
      <c r="E316" s="169" t="n"/>
    </row>
    <row r="317">
      <c r="A317" s="169" t="n"/>
      <c r="B317" s="169" t="n"/>
      <c r="C317" s="169" t="n"/>
      <c r="D317" s="169" t="n"/>
      <c r="E317" s="169" t="n"/>
    </row>
    <row r="318">
      <c r="A318" s="169" t="n"/>
      <c r="B318" s="169" t="n"/>
      <c r="C318" s="169" t="n"/>
      <c r="D318" s="169" t="n"/>
      <c r="E318" s="169" t="n"/>
    </row>
    <row r="319">
      <c r="A319" s="169" t="n"/>
      <c r="B319" s="169" t="n"/>
      <c r="C319" s="169" t="n"/>
      <c r="D319" s="169" t="n"/>
      <c r="E319" s="169" t="n"/>
    </row>
    <row r="320">
      <c r="A320" s="169" t="n"/>
      <c r="B320" s="169" t="n"/>
      <c r="C320" s="169" t="n"/>
      <c r="D320" s="169" t="n"/>
      <c r="E320" s="169" t="n"/>
    </row>
    <row r="321">
      <c r="A321" s="169" t="n"/>
      <c r="B321" s="169" t="n"/>
      <c r="C321" s="169" t="n"/>
      <c r="D321" s="169" t="n"/>
      <c r="E321" s="169" t="n"/>
    </row>
    <row r="322">
      <c r="A322" s="169" t="n"/>
      <c r="B322" s="169" t="n"/>
      <c r="C322" s="169" t="n"/>
      <c r="D322" s="169" t="n"/>
      <c r="E322" s="169" t="n"/>
    </row>
    <row r="323">
      <c r="A323" s="169" t="n"/>
      <c r="B323" s="169" t="n"/>
      <c r="C323" s="169" t="n"/>
      <c r="D323" s="169" t="n"/>
      <c r="E323" s="169" t="n"/>
    </row>
    <row r="324">
      <c r="A324" s="169" t="n"/>
      <c r="B324" s="169" t="n"/>
      <c r="C324" s="169" t="n"/>
      <c r="D324" s="169" t="n"/>
      <c r="E324" s="169" t="n"/>
    </row>
    <row r="325">
      <c r="A325" s="169" t="n"/>
      <c r="B325" s="169" t="n"/>
      <c r="C325" s="169" t="n"/>
      <c r="D325" s="169" t="n"/>
      <c r="E325" s="169" t="n"/>
    </row>
    <row r="326">
      <c r="A326" s="169" t="n"/>
      <c r="B326" s="169" t="n"/>
      <c r="C326" s="169" t="n"/>
      <c r="D326" s="169" t="n"/>
      <c r="E326" s="169" t="n"/>
    </row>
    <row r="327">
      <c r="A327" s="169" t="n"/>
      <c r="B327" s="169" t="n"/>
      <c r="C327" s="169" t="n"/>
      <c r="D327" s="169" t="n"/>
      <c r="E327" s="169" t="n"/>
    </row>
    <row r="328">
      <c r="A328" s="169" t="n"/>
      <c r="B328" s="169" t="n"/>
      <c r="C328" s="169" t="n"/>
      <c r="D328" s="169" t="n"/>
      <c r="E328" s="169" t="n"/>
    </row>
    <row r="329">
      <c r="A329" s="169" t="n"/>
      <c r="B329" s="169" t="n"/>
      <c r="C329" s="169" t="n"/>
      <c r="D329" s="169" t="n"/>
      <c r="E329" s="169" t="n"/>
    </row>
    <row r="330">
      <c r="A330" s="169" t="n"/>
      <c r="B330" s="169" t="n"/>
      <c r="C330" s="169" t="n"/>
      <c r="D330" s="169" t="n"/>
      <c r="E330" s="169" t="n"/>
    </row>
    <row r="331">
      <c r="A331" s="169" t="n"/>
      <c r="B331" s="169" t="n"/>
      <c r="C331" s="169" t="n"/>
      <c r="D331" s="169" t="n"/>
      <c r="E331" s="169" t="n"/>
    </row>
    <row r="332">
      <c r="A332" s="169" t="n"/>
      <c r="B332" s="169" t="n"/>
      <c r="C332" s="169" t="n"/>
      <c r="D332" s="169" t="n"/>
      <c r="E332" s="169" t="n"/>
    </row>
    <row r="333">
      <c r="A333" s="169" t="n"/>
      <c r="B333" s="169" t="n"/>
      <c r="C333" s="169" t="n"/>
      <c r="D333" s="169" t="n"/>
      <c r="E333" s="169" t="n"/>
    </row>
    <row r="334">
      <c r="A334" s="169" t="n"/>
      <c r="B334" s="169" t="n"/>
      <c r="C334" s="169" t="n"/>
      <c r="D334" s="169" t="n"/>
      <c r="E334" s="169" t="n"/>
    </row>
    <row r="335">
      <c r="A335" s="169" t="n"/>
      <c r="B335" s="169" t="n"/>
      <c r="C335" s="169" t="n"/>
      <c r="D335" s="169" t="n"/>
      <c r="E335" s="169" t="n"/>
    </row>
    <row r="336">
      <c r="A336" s="169" t="n"/>
      <c r="B336" s="169" t="n"/>
      <c r="C336" s="169" t="n"/>
      <c r="D336" s="169" t="n"/>
      <c r="E336" s="169" t="n"/>
    </row>
    <row r="337">
      <c r="A337" s="169" t="n"/>
      <c r="B337" s="169" t="n"/>
      <c r="C337" s="169" t="n"/>
      <c r="D337" s="169" t="n"/>
      <c r="E337" s="169" t="n"/>
    </row>
    <row r="338">
      <c r="A338" s="169" t="n"/>
      <c r="B338" s="169" t="n"/>
      <c r="C338" s="169" t="n"/>
      <c r="D338" s="169" t="n"/>
      <c r="E338" s="169" t="n"/>
    </row>
    <row r="339">
      <c r="A339" s="169" t="n"/>
      <c r="B339" s="169" t="n"/>
      <c r="C339" s="169" t="n"/>
      <c r="D339" s="169" t="n"/>
      <c r="E339" s="169" t="n"/>
    </row>
    <row r="340">
      <c r="A340" s="169" t="n"/>
      <c r="B340" s="169" t="n"/>
      <c r="C340" s="169" t="n"/>
      <c r="D340" s="169" t="n"/>
      <c r="E340" s="169" t="n"/>
    </row>
    <row r="341">
      <c r="A341" s="169" t="n"/>
      <c r="B341" s="169" t="n"/>
      <c r="C341" s="169" t="n"/>
      <c r="D341" s="169" t="n"/>
      <c r="E341" s="169" t="n"/>
    </row>
    <row r="342">
      <c r="A342" s="169" t="n"/>
      <c r="B342" s="169" t="n"/>
      <c r="C342" s="169" t="n"/>
      <c r="D342" s="169" t="n"/>
      <c r="E342" s="169" t="n"/>
    </row>
    <row r="343">
      <c r="A343" s="169" t="n"/>
      <c r="B343" s="169" t="n"/>
      <c r="C343" s="169" t="n"/>
      <c r="D343" s="169" t="n"/>
      <c r="E343" s="169" t="n"/>
    </row>
    <row r="344">
      <c r="A344" s="169" t="n"/>
      <c r="B344" s="169" t="n"/>
      <c r="C344" s="169" t="n"/>
      <c r="D344" s="169" t="n"/>
      <c r="E344" s="169" t="n"/>
    </row>
    <row r="345">
      <c r="A345" s="169" t="n"/>
      <c r="B345" s="169" t="n"/>
      <c r="C345" s="169" t="n"/>
      <c r="D345" s="169" t="n"/>
      <c r="E345" s="169" t="n"/>
    </row>
    <row r="346">
      <c r="A346" s="169" t="n"/>
      <c r="B346" s="169" t="n"/>
      <c r="C346" s="169" t="n"/>
      <c r="D346" s="169" t="n"/>
      <c r="E346" s="169" t="n"/>
    </row>
    <row r="347">
      <c r="A347" s="169" t="n"/>
      <c r="B347" s="169" t="n"/>
      <c r="C347" s="169" t="n"/>
      <c r="D347" s="169" t="n"/>
      <c r="E347" s="169" t="n"/>
    </row>
    <row r="348">
      <c r="A348" s="169" t="n"/>
      <c r="B348" s="169" t="n"/>
      <c r="C348" s="169" t="n"/>
      <c r="D348" s="169" t="n"/>
      <c r="E348" s="169" t="n"/>
    </row>
    <row r="349">
      <c r="A349" s="169" t="n"/>
      <c r="B349" s="169" t="n"/>
      <c r="C349" s="169" t="n"/>
      <c r="D349" s="169" t="n"/>
      <c r="E349" s="169" t="n"/>
    </row>
    <row r="350">
      <c r="A350" s="169" t="n"/>
      <c r="B350" s="169" t="n"/>
      <c r="C350" s="169" t="n"/>
      <c r="D350" s="169" t="n"/>
      <c r="E350" s="169" t="n"/>
    </row>
    <row r="351">
      <c r="A351" s="169" t="n"/>
      <c r="B351" s="169" t="n"/>
      <c r="C351" s="169" t="n"/>
      <c r="D351" s="169" t="n"/>
      <c r="E351" s="169" t="n"/>
    </row>
    <row r="352">
      <c r="A352" s="169" t="n"/>
      <c r="B352" s="169" t="n"/>
      <c r="C352" s="169" t="n"/>
      <c r="D352" s="169" t="n"/>
      <c r="E352" s="169" t="n"/>
    </row>
    <row r="353">
      <c r="A353" s="169" t="n"/>
      <c r="B353" s="169" t="n"/>
      <c r="C353" s="169" t="n"/>
      <c r="D353" s="169" t="n"/>
      <c r="E353" s="169" t="n"/>
    </row>
    <row r="354">
      <c r="A354" s="169" t="n"/>
      <c r="B354" s="169" t="n"/>
      <c r="C354" s="169" t="n"/>
      <c r="D354" s="169" t="n"/>
      <c r="E354" s="169" t="n"/>
    </row>
    <row r="355">
      <c r="A355" s="169" t="n"/>
      <c r="B355" s="169" t="n"/>
      <c r="C355" s="169" t="n"/>
      <c r="D355" s="169" t="n"/>
      <c r="E355" s="169" t="n"/>
    </row>
    <row r="356">
      <c r="A356" s="169" t="n"/>
      <c r="B356" s="169" t="n"/>
      <c r="C356" s="169" t="n"/>
      <c r="D356" s="169" t="n"/>
      <c r="E356" s="169" t="n"/>
    </row>
    <row r="357">
      <c r="A357" s="169" t="n"/>
      <c r="B357" s="169" t="n"/>
      <c r="C357" s="169" t="n"/>
      <c r="D357" s="169" t="n"/>
      <c r="E357" s="169" t="n"/>
    </row>
    <row r="358">
      <c r="A358" s="169" t="n"/>
      <c r="B358" s="169" t="n"/>
      <c r="C358" s="169" t="n"/>
      <c r="D358" s="169" t="n"/>
      <c r="E358" s="169" t="n"/>
    </row>
    <row r="359">
      <c r="A359" s="169" t="n"/>
      <c r="B359" s="169" t="n"/>
      <c r="C359" s="169" t="n"/>
      <c r="D359" s="169" t="n"/>
      <c r="E359" s="169" t="n"/>
    </row>
    <row r="360">
      <c r="A360" s="169" t="n"/>
      <c r="B360" s="169" t="n"/>
      <c r="C360" s="169" t="n"/>
      <c r="D360" s="169" t="n"/>
      <c r="E360" s="169" t="n"/>
    </row>
    <row r="361">
      <c r="A361" s="169" t="n"/>
      <c r="B361" s="169" t="n"/>
      <c r="C361" s="169" t="n"/>
      <c r="D361" s="169" t="n"/>
      <c r="E361" s="169" t="n"/>
    </row>
    <row r="362">
      <c r="A362" s="169" t="n"/>
      <c r="B362" s="169" t="n"/>
      <c r="C362" s="169" t="n"/>
      <c r="D362" s="169" t="n"/>
      <c r="E362" s="169" t="n"/>
    </row>
    <row r="363">
      <c r="A363" s="169" t="n"/>
      <c r="B363" s="169" t="n"/>
      <c r="C363" s="169" t="n"/>
      <c r="D363" s="169" t="n"/>
      <c r="E363" s="169" t="n"/>
    </row>
    <row r="364">
      <c r="A364" s="169" t="n"/>
      <c r="B364" s="169" t="n"/>
      <c r="C364" s="169" t="n"/>
      <c r="D364" s="169" t="n"/>
      <c r="E364" s="169" t="n"/>
    </row>
    <row r="365">
      <c r="A365" s="169" t="n"/>
      <c r="B365" s="169" t="n"/>
      <c r="C365" s="169" t="n"/>
      <c r="D365" s="169" t="n"/>
      <c r="E365" s="169" t="n"/>
    </row>
    <row r="366">
      <c r="A366" s="169" t="n"/>
      <c r="B366" s="169" t="n"/>
      <c r="C366" s="169" t="n"/>
      <c r="D366" s="169" t="n"/>
      <c r="E366" s="169" t="n"/>
    </row>
    <row r="367">
      <c r="A367" s="169" t="n"/>
      <c r="B367" s="169" t="n"/>
      <c r="C367" s="169" t="n"/>
      <c r="D367" s="169" t="n"/>
      <c r="E367" s="169" t="n"/>
    </row>
    <row r="368">
      <c r="A368" s="169" t="n"/>
      <c r="B368" s="169" t="n"/>
      <c r="C368" s="169" t="n"/>
      <c r="D368" s="169" t="n"/>
      <c r="E368" s="169" t="n"/>
    </row>
    <row r="369">
      <c r="A369" s="169" t="n"/>
      <c r="B369" s="169" t="n"/>
      <c r="C369" s="169" t="n"/>
      <c r="D369" s="169" t="n"/>
      <c r="E369" s="169" t="n"/>
    </row>
    <row r="370">
      <c r="A370" s="169" t="n"/>
      <c r="B370" s="169" t="n"/>
      <c r="C370" s="169" t="n"/>
      <c r="D370" s="169" t="n"/>
      <c r="E370" s="169" t="n"/>
    </row>
    <row r="371">
      <c r="A371" s="169" t="n"/>
      <c r="B371" s="169" t="n"/>
      <c r="C371" s="169" t="n"/>
      <c r="D371" s="169" t="n"/>
      <c r="E371" s="169" t="n"/>
    </row>
    <row r="372">
      <c r="A372" s="169" t="n"/>
      <c r="B372" s="169" t="n"/>
      <c r="C372" s="169" t="n"/>
      <c r="D372" s="169" t="n"/>
      <c r="E372" s="169" t="n"/>
    </row>
    <row r="373">
      <c r="A373" s="169" t="n"/>
      <c r="B373" s="169" t="n"/>
      <c r="C373" s="169" t="n"/>
      <c r="D373" s="169" t="n"/>
      <c r="E373" s="169" t="n"/>
    </row>
    <row r="374">
      <c r="A374" s="169" t="n"/>
      <c r="B374" s="169" t="n"/>
      <c r="C374" s="169" t="n"/>
      <c r="D374" s="169" t="n"/>
      <c r="E374" s="169" t="n"/>
    </row>
    <row r="375">
      <c r="A375" s="169" t="n"/>
      <c r="B375" s="169" t="n"/>
      <c r="C375" s="169" t="n"/>
      <c r="D375" s="169" t="n"/>
      <c r="E375" s="169" t="n"/>
    </row>
    <row r="376">
      <c r="A376" s="169" t="n"/>
      <c r="B376" s="169" t="n"/>
      <c r="C376" s="169" t="n"/>
      <c r="D376" s="169" t="n"/>
      <c r="E376" s="169" t="n"/>
    </row>
    <row r="377">
      <c r="A377" s="169" t="n"/>
      <c r="B377" s="169" t="n"/>
      <c r="C377" s="169" t="n"/>
      <c r="D377" s="169" t="n"/>
      <c r="E377" s="169" t="n"/>
    </row>
    <row r="378">
      <c r="A378" s="169" t="n"/>
      <c r="B378" s="169" t="n"/>
      <c r="C378" s="169" t="n"/>
      <c r="D378" s="169" t="n"/>
      <c r="E378" s="169" t="n"/>
    </row>
    <row r="379">
      <c r="A379" s="169" t="n"/>
      <c r="B379" s="169" t="n"/>
      <c r="C379" s="169" t="n"/>
      <c r="D379" s="169" t="n"/>
      <c r="E379" s="169" t="n"/>
    </row>
    <row r="380">
      <c r="A380" s="169" t="n"/>
      <c r="B380" s="169" t="n"/>
      <c r="C380" s="169" t="n"/>
      <c r="D380" s="169" t="n"/>
      <c r="E380" s="169" t="n"/>
    </row>
    <row r="381">
      <c r="A381" s="169" t="n"/>
      <c r="B381" s="169" t="n"/>
      <c r="C381" s="169" t="n"/>
      <c r="D381" s="169" t="n"/>
      <c r="E381" s="169" t="n"/>
    </row>
    <row r="382">
      <c r="A382" s="169" t="n"/>
      <c r="B382" s="169" t="n"/>
      <c r="C382" s="169" t="n"/>
      <c r="D382" s="169" t="n"/>
      <c r="E382" s="169" t="n"/>
    </row>
    <row r="383">
      <c r="A383" s="169" t="n"/>
      <c r="B383" s="169" t="n"/>
      <c r="C383" s="169" t="n"/>
      <c r="D383" s="169" t="n"/>
      <c r="E383" s="169" t="n"/>
    </row>
    <row r="384">
      <c r="A384" s="169" t="n"/>
      <c r="B384" s="169" t="n"/>
      <c r="C384" s="169" t="n"/>
      <c r="D384" s="169" t="n"/>
      <c r="E384" s="169" t="n"/>
    </row>
    <row r="385">
      <c r="A385" s="169" t="n"/>
      <c r="B385" s="169" t="n"/>
      <c r="C385" s="169" t="n"/>
      <c r="D385" s="169" t="n"/>
      <c r="E385" s="169" t="n"/>
    </row>
    <row r="386">
      <c r="A386" s="169" t="n"/>
      <c r="B386" s="169" t="n"/>
      <c r="C386" s="169" t="n"/>
      <c r="D386" s="169" t="n"/>
      <c r="E386" s="169" t="n"/>
    </row>
    <row r="387">
      <c r="A387" s="169" t="n"/>
      <c r="B387" s="169" t="n"/>
      <c r="C387" s="169" t="n"/>
      <c r="D387" s="169" t="n"/>
      <c r="E387" s="169" t="n"/>
    </row>
    <row r="388">
      <c r="A388" s="169" t="n"/>
      <c r="B388" s="169" t="n"/>
      <c r="C388" s="169" t="n"/>
      <c r="D388" s="169" t="n"/>
      <c r="E388" s="169" t="n"/>
    </row>
    <row r="389">
      <c r="A389" s="169" t="n"/>
      <c r="B389" s="169" t="n"/>
      <c r="C389" s="169" t="n"/>
      <c r="D389" s="169" t="n"/>
      <c r="E389" s="169" t="n"/>
    </row>
    <row r="390">
      <c r="A390" s="169" t="n"/>
      <c r="B390" s="169" t="n"/>
      <c r="C390" s="169" t="n"/>
      <c r="D390" s="169" t="n"/>
      <c r="E390" s="169" t="n"/>
    </row>
    <row r="391">
      <c r="A391" s="169" t="n"/>
      <c r="B391" s="169" t="n"/>
      <c r="C391" s="169" t="n"/>
      <c r="D391" s="169" t="n"/>
      <c r="E391" s="169" t="n"/>
    </row>
    <row r="392">
      <c r="A392" s="169" t="n"/>
      <c r="B392" s="169" t="n"/>
      <c r="C392" s="169" t="n"/>
      <c r="D392" s="169" t="n"/>
      <c r="E392" s="169" t="n"/>
    </row>
    <row r="393">
      <c r="A393" s="169" t="n"/>
      <c r="B393" s="169" t="n"/>
      <c r="C393" s="169" t="n"/>
      <c r="D393" s="169" t="n"/>
      <c r="E393" s="169" t="n"/>
    </row>
    <row r="394">
      <c r="A394" s="169" t="n"/>
      <c r="B394" s="169" t="n"/>
      <c r="C394" s="169" t="n"/>
      <c r="D394" s="169" t="n"/>
      <c r="E394" s="169" t="n"/>
    </row>
    <row r="395">
      <c r="A395" s="169" t="n"/>
      <c r="B395" s="169" t="n"/>
      <c r="C395" s="169" t="n"/>
      <c r="D395" s="169" t="n"/>
      <c r="E395" s="169" t="n"/>
    </row>
    <row r="396">
      <c r="A396" s="169" t="n"/>
      <c r="B396" s="169" t="n"/>
      <c r="C396" s="169" t="n"/>
      <c r="D396" s="169" t="n"/>
      <c r="E396" s="169" t="n"/>
    </row>
    <row r="397">
      <c r="A397" s="169" t="n"/>
      <c r="B397" s="169" t="n"/>
      <c r="C397" s="169" t="n"/>
      <c r="D397" s="169" t="n"/>
      <c r="E397" s="169" t="n"/>
    </row>
    <row r="398">
      <c r="A398" s="169" t="n"/>
      <c r="B398" s="169" t="n"/>
      <c r="C398" s="169" t="n"/>
      <c r="D398" s="169" t="n"/>
      <c r="E398" s="169" t="n"/>
    </row>
    <row r="399">
      <c r="A399" s="169" t="n"/>
      <c r="B399" s="169" t="n"/>
      <c r="C399" s="169" t="n"/>
      <c r="D399" s="169" t="n"/>
      <c r="E399" s="169" t="n"/>
    </row>
    <row r="400">
      <c r="A400" s="169" t="n"/>
      <c r="B400" s="169" t="n"/>
      <c r="C400" s="169" t="n"/>
      <c r="D400" s="169" t="n"/>
      <c r="E400" s="169" t="n"/>
    </row>
    <row r="401">
      <c r="A401" s="169" t="n"/>
      <c r="B401" s="169" t="n"/>
      <c r="C401" s="169" t="n"/>
      <c r="D401" s="169" t="n"/>
      <c r="E401" s="169" t="n"/>
    </row>
    <row r="402">
      <c r="A402" s="169" t="n"/>
      <c r="B402" s="169" t="n"/>
      <c r="C402" s="169" t="n"/>
      <c r="D402" s="169" t="n"/>
      <c r="E402" s="169" t="n"/>
    </row>
    <row r="403">
      <c r="A403" s="169" t="n"/>
      <c r="B403" s="169" t="n"/>
      <c r="C403" s="169" t="n"/>
      <c r="D403" s="169" t="n"/>
      <c r="E403" s="169" t="n"/>
    </row>
    <row r="404">
      <c r="A404" s="169" t="n"/>
      <c r="B404" s="169" t="n"/>
      <c r="C404" s="169" t="n"/>
      <c r="D404" s="169" t="n"/>
      <c r="E404" s="169" t="n"/>
    </row>
    <row r="405">
      <c r="A405" s="169" t="n"/>
      <c r="B405" s="169" t="n"/>
      <c r="C405" s="169" t="n"/>
      <c r="D405" s="169" t="n"/>
      <c r="E405" s="169" t="n"/>
    </row>
    <row r="406">
      <c r="A406" s="169" t="n"/>
      <c r="B406" s="169" t="n"/>
      <c r="C406" s="169" t="n"/>
      <c r="D406" s="169" t="n"/>
      <c r="E406" s="169" t="n"/>
    </row>
    <row r="407">
      <c r="A407" s="169" t="n"/>
      <c r="B407" s="169" t="n"/>
      <c r="C407" s="169" t="n"/>
      <c r="D407" s="169" t="n"/>
      <c r="E407" s="169" t="n"/>
    </row>
    <row r="408">
      <c r="A408" s="169" t="n"/>
      <c r="B408" s="169" t="n"/>
      <c r="C408" s="169" t="n"/>
      <c r="D408" s="169" t="n"/>
      <c r="E408" s="169" t="n"/>
    </row>
    <row r="409">
      <c r="A409" s="169" t="n"/>
      <c r="B409" s="169" t="n"/>
      <c r="C409" s="169" t="n"/>
      <c r="D409" s="169" t="n"/>
      <c r="E409" s="169" t="n"/>
    </row>
    <row r="410">
      <c r="A410" s="169" t="n"/>
      <c r="B410" s="169" t="n"/>
      <c r="C410" s="169" t="n"/>
      <c r="D410" s="169" t="n"/>
      <c r="E410" s="169" t="n"/>
    </row>
    <row r="411">
      <c r="A411" s="169" t="n"/>
      <c r="B411" s="169" t="n"/>
      <c r="C411" s="169" t="n"/>
      <c r="D411" s="169" t="n"/>
      <c r="E411" s="169" t="n"/>
    </row>
    <row r="412">
      <c r="A412" s="169" t="n"/>
      <c r="B412" s="169" t="n"/>
      <c r="C412" s="169" t="n"/>
      <c r="D412" s="169" t="n"/>
      <c r="E412" s="169" t="n"/>
    </row>
    <row r="413">
      <c r="A413" s="169" t="n"/>
      <c r="B413" s="169" t="n"/>
      <c r="C413" s="169" t="n"/>
      <c r="D413" s="169" t="n"/>
      <c r="E413" s="169" t="n"/>
    </row>
    <row r="414">
      <c r="A414" s="169" t="n"/>
      <c r="B414" s="169" t="n"/>
      <c r="C414" s="169" t="n"/>
      <c r="D414" s="169" t="n"/>
      <c r="E414" s="169" t="n"/>
    </row>
    <row r="415">
      <c r="A415" s="169" t="n"/>
      <c r="B415" s="169" t="n"/>
      <c r="C415" s="169" t="n"/>
      <c r="D415" s="169" t="n"/>
      <c r="E415" s="169" t="n"/>
    </row>
    <row r="416">
      <c r="A416" s="169" t="n"/>
      <c r="B416" s="169" t="n"/>
      <c r="C416" s="169" t="n"/>
      <c r="D416" s="169" t="n"/>
      <c r="E416" s="169" t="n"/>
    </row>
    <row r="417">
      <c r="A417" s="169" t="n"/>
      <c r="B417" s="169" t="n"/>
      <c r="C417" s="169" t="n"/>
      <c r="D417" s="169" t="n"/>
      <c r="E417" s="169" t="n"/>
    </row>
    <row r="418">
      <c r="A418" s="169" t="n"/>
      <c r="B418" s="169" t="n"/>
      <c r="C418" s="169" t="n"/>
      <c r="D418" s="169" t="n"/>
      <c r="E418" s="169" t="n"/>
    </row>
    <row r="419">
      <c r="A419" s="169" t="n"/>
      <c r="B419" s="169" t="n"/>
      <c r="C419" s="169" t="n"/>
      <c r="D419" s="169" t="n"/>
      <c r="E419" s="169" t="n"/>
    </row>
    <row r="420">
      <c r="A420" s="169" t="n"/>
      <c r="B420" s="169" t="n"/>
      <c r="C420" s="169" t="n"/>
      <c r="D420" s="169" t="n"/>
      <c r="E420" s="169" t="n"/>
    </row>
    <row r="421">
      <c r="A421" s="169" t="n"/>
      <c r="B421" s="169" t="n"/>
      <c r="C421" s="169" t="n"/>
      <c r="D421" s="169" t="n"/>
      <c r="E421" s="169" t="n"/>
    </row>
    <row r="422">
      <c r="A422" s="169" t="n"/>
      <c r="B422" s="169" t="n"/>
      <c r="C422" s="169" t="n"/>
      <c r="D422" s="169" t="n"/>
      <c r="E422" s="169" t="n"/>
    </row>
    <row r="423">
      <c r="A423" s="169" t="n"/>
      <c r="B423" s="169" t="n"/>
      <c r="C423" s="169" t="n"/>
      <c r="D423" s="169" t="n"/>
      <c r="E423" s="169" t="n"/>
    </row>
    <row r="424">
      <c r="A424" s="169" t="n"/>
      <c r="B424" s="169" t="n"/>
      <c r="C424" s="169" t="n"/>
      <c r="D424" s="169" t="n"/>
      <c r="E424" s="169" t="n"/>
    </row>
    <row r="425">
      <c r="A425" s="169" t="n"/>
      <c r="B425" s="169" t="n"/>
      <c r="C425" s="169" t="n"/>
      <c r="D425" s="169" t="n"/>
      <c r="E425" s="169" t="n"/>
    </row>
    <row r="426">
      <c r="A426" s="169" t="n"/>
      <c r="B426" s="169" t="n"/>
      <c r="C426" s="169" t="n"/>
      <c r="D426" s="169" t="n"/>
      <c r="E426" s="169" t="n"/>
    </row>
    <row r="427">
      <c r="A427" s="169" t="n"/>
      <c r="B427" s="169" t="n"/>
      <c r="C427" s="169" t="n"/>
      <c r="D427" s="169" t="n"/>
      <c r="E427" s="169" t="n"/>
    </row>
    <row r="428">
      <c r="A428" s="169" t="n"/>
      <c r="B428" s="169" t="n"/>
      <c r="C428" s="169" t="n"/>
      <c r="D428" s="169" t="n"/>
      <c r="E428" s="169" t="n"/>
    </row>
    <row r="429">
      <c r="A429" s="169" t="n"/>
      <c r="B429" s="169" t="n"/>
      <c r="C429" s="169" t="n"/>
      <c r="D429" s="169" t="n"/>
      <c r="E429" s="169" t="n"/>
    </row>
    <row r="430">
      <c r="A430" s="169" t="n"/>
      <c r="B430" s="169" t="n"/>
      <c r="C430" s="169" t="n"/>
      <c r="D430" s="169" t="n"/>
      <c r="E430" s="169" t="n"/>
    </row>
    <row r="431">
      <c r="A431" s="169" t="n"/>
      <c r="B431" s="169" t="n"/>
      <c r="C431" s="169" t="n"/>
      <c r="D431" s="169" t="n"/>
      <c r="E431" s="169" t="n"/>
    </row>
    <row r="432">
      <c r="A432" s="169" t="n"/>
      <c r="B432" s="169" t="n"/>
      <c r="C432" s="169" t="n"/>
      <c r="D432" s="169" t="n"/>
      <c r="E432" s="169" t="n"/>
    </row>
    <row r="433">
      <c r="A433" s="169" t="n"/>
      <c r="B433" s="169" t="n"/>
      <c r="C433" s="169" t="n"/>
      <c r="D433" s="169" t="n"/>
      <c r="E433" s="169" t="n"/>
    </row>
    <row r="434">
      <c r="A434" s="169" t="n"/>
      <c r="B434" s="169" t="n"/>
      <c r="C434" s="169" t="n"/>
      <c r="D434" s="169" t="n"/>
      <c r="E434" s="169" t="n"/>
    </row>
    <row r="435">
      <c r="A435" s="169" t="n"/>
      <c r="B435" s="169" t="n"/>
      <c r="C435" s="169" t="n"/>
      <c r="D435" s="169" t="n"/>
      <c r="E435" s="169" t="n"/>
    </row>
    <row r="436">
      <c r="A436" s="169" t="n"/>
      <c r="B436" s="169" t="n"/>
      <c r="C436" s="169" t="n"/>
      <c r="D436" s="169" t="n"/>
      <c r="E436" s="169" t="n"/>
    </row>
    <row r="437">
      <c r="A437" s="169" t="n"/>
      <c r="B437" s="169" t="n"/>
      <c r="C437" s="169" t="n"/>
      <c r="D437" s="169" t="n"/>
      <c r="E437" s="169" t="n"/>
    </row>
    <row r="438">
      <c r="A438" s="169" t="n"/>
      <c r="B438" s="169" t="n"/>
      <c r="C438" s="169" t="n"/>
      <c r="D438" s="169" t="n"/>
      <c r="E438" s="169" t="n"/>
    </row>
    <row r="439">
      <c r="A439" s="169" t="n"/>
      <c r="B439" s="169" t="n"/>
      <c r="C439" s="169" t="n"/>
      <c r="D439" s="169" t="n"/>
      <c r="E439" s="169" t="n"/>
    </row>
    <row r="440">
      <c r="A440" s="169" t="n"/>
      <c r="B440" s="169" t="n"/>
      <c r="C440" s="169" t="n"/>
      <c r="D440" s="169" t="n"/>
      <c r="E440" s="169" t="n"/>
    </row>
    <row r="441">
      <c r="A441" s="169" t="n"/>
      <c r="B441" s="169" t="n"/>
      <c r="C441" s="169" t="n"/>
      <c r="D441" s="169" t="n"/>
      <c r="E441" s="169" t="n"/>
    </row>
    <row r="442">
      <c r="A442" s="169" t="n"/>
      <c r="B442" s="169" t="n"/>
      <c r="C442" s="169" t="n"/>
      <c r="D442" s="169" t="n"/>
      <c r="E442" s="169" t="n"/>
    </row>
    <row r="443">
      <c r="A443" s="169" t="n"/>
      <c r="B443" s="169" t="n"/>
      <c r="C443" s="169" t="n"/>
      <c r="D443" s="169" t="n"/>
      <c r="E443" s="169" t="n"/>
    </row>
    <row r="444">
      <c r="A444" s="169" t="n"/>
      <c r="B444" s="169" t="n"/>
      <c r="C444" s="169" t="n"/>
      <c r="D444" s="169" t="n"/>
      <c r="E444" s="169" t="n"/>
    </row>
    <row r="445">
      <c r="A445" s="169" t="n"/>
      <c r="B445" s="169" t="n"/>
      <c r="C445" s="169" t="n"/>
      <c r="D445" s="169" t="n"/>
      <c r="E445" s="169" t="n"/>
    </row>
    <row r="446">
      <c r="A446" s="169" t="n"/>
      <c r="B446" s="169" t="n"/>
      <c r="C446" s="169" t="n"/>
      <c r="D446" s="169" t="n"/>
      <c r="E446" s="169" t="n"/>
    </row>
    <row r="447">
      <c r="A447" s="169" t="n"/>
      <c r="B447" s="169" t="n"/>
      <c r="C447" s="169" t="n"/>
      <c r="D447" s="169" t="n"/>
      <c r="E447" s="169" t="n"/>
    </row>
    <row r="448">
      <c r="A448" s="169" t="n"/>
      <c r="B448" s="169" t="n"/>
      <c r="C448" s="169" t="n"/>
      <c r="D448" s="169" t="n"/>
      <c r="E448" s="169" t="n"/>
    </row>
    <row r="449">
      <c r="A449" s="169" t="n"/>
      <c r="B449" s="169" t="n"/>
      <c r="C449" s="169" t="n"/>
      <c r="D449" s="169" t="n"/>
      <c r="E449" s="169" t="n"/>
    </row>
    <row r="450">
      <c r="A450" s="169" t="n"/>
      <c r="B450" s="169" t="n"/>
      <c r="C450" s="169" t="n"/>
      <c r="D450" s="169" t="n"/>
      <c r="E450" s="169" t="n"/>
    </row>
    <row r="451">
      <c r="A451" s="169" t="n"/>
      <c r="B451" s="169" t="n"/>
      <c r="C451" s="169" t="n"/>
      <c r="D451" s="169" t="n"/>
      <c r="E451" s="169" t="n"/>
    </row>
    <row r="452">
      <c r="A452" s="169" t="n"/>
      <c r="B452" s="169" t="n"/>
      <c r="C452" s="169" t="n"/>
      <c r="D452" s="169" t="n"/>
      <c r="E452" s="169" t="n"/>
    </row>
    <row r="453">
      <c r="A453" s="169" t="n"/>
      <c r="B453" s="169" t="n"/>
      <c r="C453" s="169" t="n"/>
      <c r="D453" s="169" t="n"/>
      <c r="E453" s="169" t="n"/>
    </row>
    <row r="454">
      <c r="A454" s="169" t="n"/>
      <c r="B454" s="169" t="n"/>
      <c r="C454" s="169" t="n"/>
      <c r="D454" s="169" t="n"/>
      <c r="E454" s="169" t="n"/>
    </row>
    <row r="455">
      <c r="A455" s="169" t="n"/>
      <c r="B455" s="169" t="n"/>
      <c r="C455" s="169" t="n"/>
      <c r="D455" s="169" t="n"/>
      <c r="E455" s="169" t="n"/>
    </row>
    <row r="456">
      <c r="A456" s="169" t="n"/>
      <c r="B456" s="169" t="n"/>
      <c r="C456" s="169" t="n"/>
      <c r="D456" s="169" t="n"/>
      <c r="E456" s="169" t="n"/>
    </row>
    <row r="457">
      <c r="A457" s="169" t="n"/>
      <c r="B457" s="169" t="n"/>
      <c r="C457" s="169" t="n"/>
      <c r="D457" s="169" t="n"/>
      <c r="E457" s="169" t="n"/>
    </row>
    <row r="458">
      <c r="A458" s="169" t="n"/>
      <c r="B458" s="169" t="n"/>
      <c r="C458" s="169" t="n"/>
      <c r="D458" s="169" t="n"/>
      <c r="E458" s="169" t="n"/>
    </row>
    <row r="459">
      <c r="A459" s="169" t="n"/>
      <c r="B459" s="169" t="n"/>
      <c r="C459" s="169" t="n"/>
      <c r="D459" s="169" t="n"/>
      <c r="E459" s="169" t="n"/>
    </row>
    <row r="460">
      <c r="A460" s="169" t="n"/>
      <c r="B460" s="169" t="n"/>
      <c r="C460" s="169" t="n"/>
      <c r="D460" s="169" t="n"/>
      <c r="E460" s="169" t="n"/>
    </row>
    <row r="461">
      <c r="A461" s="169" t="n"/>
      <c r="B461" s="169" t="n"/>
      <c r="C461" s="169" t="n"/>
      <c r="D461" s="169" t="n"/>
      <c r="E461" s="169" t="n"/>
    </row>
    <row r="462">
      <c r="A462" s="169" t="n"/>
      <c r="B462" s="169" t="n"/>
      <c r="C462" s="169" t="n"/>
      <c r="D462" s="169" t="n"/>
      <c r="E462" s="169" t="n"/>
    </row>
    <row r="463">
      <c r="A463" s="169" t="n"/>
      <c r="B463" s="169" t="n"/>
      <c r="C463" s="169" t="n"/>
      <c r="D463" s="169" t="n"/>
      <c r="E463" s="169" t="n"/>
    </row>
    <row r="464">
      <c r="A464" s="169" t="n"/>
      <c r="B464" s="169" t="n"/>
      <c r="C464" s="169" t="n"/>
      <c r="D464" s="169" t="n"/>
      <c r="E464" s="169" t="n"/>
    </row>
    <row r="465">
      <c r="A465" s="169" t="n"/>
      <c r="B465" s="169" t="n"/>
      <c r="C465" s="169" t="n"/>
      <c r="D465" s="169" t="n"/>
      <c r="E465" s="169" t="n"/>
    </row>
    <row r="466">
      <c r="A466" s="169" t="n"/>
      <c r="B466" s="169" t="n"/>
      <c r="C466" s="169" t="n"/>
      <c r="D466" s="169" t="n"/>
      <c r="E466" s="169" t="n"/>
    </row>
    <row r="467">
      <c r="A467" s="169" t="n"/>
      <c r="B467" s="169" t="n"/>
      <c r="C467" s="169" t="n"/>
      <c r="D467" s="169" t="n"/>
      <c r="E467" s="169" t="n"/>
    </row>
    <row r="468">
      <c r="A468" s="169" t="n"/>
      <c r="B468" s="169" t="n"/>
      <c r="C468" s="169" t="n"/>
      <c r="D468" s="169" t="n"/>
      <c r="E468" s="169" t="n"/>
    </row>
    <row r="469">
      <c r="A469" s="169" t="n"/>
      <c r="B469" s="169" t="n"/>
      <c r="C469" s="169" t="n"/>
      <c r="D469" s="169" t="n"/>
      <c r="E469" s="169" t="n"/>
    </row>
    <row r="470">
      <c r="A470" s="169" t="n"/>
      <c r="B470" s="169" t="n"/>
      <c r="C470" s="169" t="n"/>
      <c r="D470" s="169" t="n"/>
      <c r="E470" s="169" t="n"/>
    </row>
    <row r="471">
      <c r="A471" s="169" t="n"/>
      <c r="B471" s="169" t="n"/>
      <c r="C471" s="169" t="n"/>
      <c r="D471" s="169" t="n"/>
      <c r="E471" s="169" t="n"/>
    </row>
    <row r="472">
      <c r="A472" s="169" t="n"/>
      <c r="B472" s="169" t="n"/>
      <c r="C472" s="169" t="n"/>
      <c r="D472" s="169" t="n"/>
      <c r="E472" s="169" t="n"/>
    </row>
    <row r="473">
      <c r="A473" s="169" t="n"/>
      <c r="B473" s="169" t="n"/>
      <c r="C473" s="169" t="n"/>
      <c r="D473" s="169" t="n"/>
      <c r="E473" s="169" t="n"/>
    </row>
    <row r="474">
      <c r="A474" s="169" t="n"/>
      <c r="B474" s="169" t="n"/>
      <c r="C474" s="169" t="n"/>
      <c r="D474" s="169" t="n"/>
      <c r="E474" s="169" t="n"/>
    </row>
    <row r="475">
      <c r="A475" s="169" t="n"/>
      <c r="B475" s="169" t="n"/>
      <c r="C475" s="169" t="n"/>
      <c r="D475" s="169" t="n"/>
      <c r="E475" s="169" t="n"/>
    </row>
    <row r="476">
      <c r="A476" s="169" t="n"/>
      <c r="B476" s="169" t="n"/>
      <c r="C476" s="169" t="n"/>
      <c r="D476" s="169" t="n"/>
      <c r="E476" s="169" t="n"/>
    </row>
    <row r="477">
      <c r="A477" s="169" t="n"/>
      <c r="B477" s="169" t="n"/>
      <c r="C477" s="169" t="n"/>
      <c r="D477" s="169" t="n"/>
      <c r="E477" s="169" t="n"/>
    </row>
    <row r="478">
      <c r="A478" s="169" t="n"/>
      <c r="B478" s="169" t="n"/>
      <c r="C478" s="169" t="n"/>
      <c r="D478" s="169" t="n"/>
      <c r="E478" s="169" t="n"/>
    </row>
    <row r="479">
      <c r="A479" s="169" t="n"/>
      <c r="B479" s="169" t="n"/>
      <c r="C479" s="169" t="n"/>
      <c r="D479" s="169" t="n"/>
      <c r="E479" s="169" t="n"/>
    </row>
    <row r="480">
      <c r="A480" s="169" t="n"/>
      <c r="B480" s="169" t="n"/>
      <c r="C480" s="169" t="n"/>
      <c r="D480" s="169" t="n"/>
      <c r="E480" s="169" t="n"/>
    </row>
    <row r="481">
      <c r="A481" s="169" t="n"/>
      <c r="B481" s="169" t="n"/>
      <c r="C481" s="169" t="n"/>
      <c r="D481" s="169" t="n"/>
      <c r="E481" s="169" t="n"/>
    </row>
    <row r="482">
      <c r="A482" s="169" t="n"/>
      <c r="B482" s="169" t="n"/>
      <c r="C482" s="169" t="n"/>
      <c r="D482" s="169" t="n"/>
      <c r="E482" s="169" t="n"/>
    </row>
    <row r="483">
      <c r="A483" s="169" t="n"/>
      <c r="B483" s="169" t="n"/>
      <c r="C483" s="169" t="n"/>
      <c r="D483" s="169" t="n"/>
      <c r="E483" s="169" t="n"/>
    </row>
    <row r="484">
      <c r="A484" s="169" t="n"/>
      <c r="B484" s="169" t="n"/>
      <c r="C484" s="169" t="n"/>
      <c r="D484" s="169" t="n"/>
      <c r="E484" s="169" t="n"/>
    </row>
    <row r="485">
      <c r="A485" s="169" t="n"/>
      <c r="B485" s="169" t="n"/>
      <c r="C485" s="169" t="n"/>
      <c r="D485" s="169" t="n"/>
      <c r="E485" s="169" t="n"/>
    </row>
    <row r="486">
      <c r="A486" s="169" t="n"/>
      <c r="B486" s="169" t="n"/>
      <c r="C486" s="169" t="n"/>
      <c r="D486" s="169" t="n"/>
      <c r="E486" s="169" t="n"/>
    </row>
    <row r="487">
      <c r="A487" s="169" t="n"/>
      <c r="B487" s="169" t="n"/>
      <c r="C487" s="169" t="n"/>
      <c r="D487" s="169" t="n"/>
      <c r="E487" s="169" t="n"/>
    </row>
    <row r="488">
      <c r="A488" s="169" t="n"/>
      <c r="B488" s="169" t="n"/>
      <c r="C488" s="169" t="n"/>
      <c r="D488" s="169" t="n"/>
      <c r="E488" s="169" t="n"/>
    </row>
    <row r="489">
      <c r="A489" s="169" t="n"/>
      <c r="B489" s="169" t="n"/>
      <c r="C489" s="169" t="n"/>
      <c r="D489" s="169" t="n"/>
      <c r="E489" s="169" t="n"/>
    </row>
    <row r="490">
      <c r="A490" s="169" t="n"/>
      <c r="B490" s="169" t="n"/>
      <c r="C490" s="169" t="n"/>
      <c r="D490" s="169" t="n"/>
      <c r="E490" s="169" t="n"/>
    </row>
    <row r="491">
      <c r="A491" s="169" t="n"/>
      <c r="B491" s="169" t="n"/>
      <c r="C491" s="169" t="n"/>
      <c r="D491" s="169" t="n"/>
      <c r="E491" s="169" t="n"/>
    </row>
    <row r="492">
      <c r="A492" s="169" t="n"/>
      <c r="B492" s="169" t="n"/>
      <c r="C492" s="169" t="n"/>
      <c r="D492" s="169" t="n"/>
      <c r="E492" s="169" t="n"/>
    </row>
    <row r="493">
      <c r="A493" s="169" t="n"/>
      <c r="B493" s="169" t="n"/>
      <c r="C493" s="169" t="n"/>
      <c r="D493" s="169" t="n"/>
      <c r="E493" s="169" t="n"/>
    </row>
    <row r="494">
      <c r="A494" s="169" t="n"/>
      <c r="B494" s="169" t="n"/>
      <c r="C494" s="169" t="n"/>
      <c r="D494" s="169" t="n"/>
      <c r="E494" s="169" t="n"/>
    </row>
    <row r="495">
      <c r="A495" s="169" t="n"/>
      <c r="B495" s="169" t="n"/>
      <c r="C495" s="169" t="n"/>
      <c r="D495" s="169" t="n"/>
      <c r="E495" s="169" t="n"/>
    </row>
    <row r="496">
      <c r="A496" s="169" t="n"/>
      <c r="B496" s="169" t="n"/>
      <c r="C496" s="169" t="n"/>
      <c r="D496" s="169" t="n"/>
      <c r="E496" s="169" t="n"/>
    </row>
    <row r="497">
      <c r="A497" s="169" t="n"/>
      <c r="B497" s="169" t="n"/>
      <c r="C497" s="169" t="n"/>
      <c r="D497" s="169" t="n"/>
      <c r="E497" s="169" t="n"/>
    </row>
    <row r="498">
      <c r="A498" s="169" t="n"/>
      <c r="B498" s="169" t="n"/>
      <c r="C498" s="169" t="n"/>
      <c r="D498" s="169" t="n"/>
      <c r="E498" s="169" t="n"/>
    </row>
    <row r="499">
      <c r="A499" s="169" t="n"/>
      <c r="B499" s="169" t="n"/>
      <c r="C499" s="169" t="n"/>
      <c r="D499" s="169" t="n"/>
      <c r="E499" s="169" t="n"/>
    </row>
    <row r="500">
      <c r="A500" s="169" t="n"/>
      <c r="B500" s="169" t="n"/>
      <c r="C500" s="169" t="n"/>
      <c r="D500" s="169" t="n"/>
      <c r="E500" s="169" t="n"/>
    </row>
    <row r="501">
      <c r="A501" s="169" t="n"/>
      <c r="B501" s="169" t="n"/>
      <c r="C501" s="169" t="n"/>
      <c r="D501" s="169" t="n"/>
      <c r="E501" s="169" t="n"/>
    </row>
    <row r="502">
      <c r="A502" s="169" t="n"/>
      <c r="B502" s="169" t="n"/>
      <c r="C502" s="169" t="n"/>
      <c r="D502" s="169" t="n"/>
      <c r="E502" s="169" t="n"/>
    </row>
    <row r="503">
      <c r="A503" s="169" t="n"/>
      <c r="B503" s="169" t="n"/>
      <c r="C503" s="169" t="n"/>
      <c r="D503" s="169" t="n"/>
      <c r="E503" s="169" t="n"/>
    </row>
    <row r="504">
      <c r="A504" s="169" t="n"/>
      <c r="B504" s="169" t="n"/>
      <c r="C504" s="169" t="n"/>
      <c r="D504" s="169" t="n"/>
      <c r="E504" s="169" t="n"/>
    </row>
    <row r="505">
      <c r="A505" s="169" t="n"/>
      <c r="B505" s="169" t="n"/>
      <c r="C505" s="169" t="n"/>
      <c r="D505" s="169" t="n"/>
      <c r="E505" s="169" t="n"/>
    </row>
    <row r="506">
      <c r="A506" s="169" t="n"/>
      <c r="B506" s="169" t="n"/>
      <c r="C506" s="169" t="n"/>
      <c r="D506" s="169" t="n"/>
      <c r="E506" s="169" t="n"/>
    </row>
    <row r="507">
      <c r="A507" s="169" t="n"/>
      <c r="B507" s="169" t="n"/>
      <c r="C507" s="169" t="n"/>
      <c r="D507" s="169" t="n"/>
      <c r="E507" s="169" t="n"/>
    </row>
    <row r="508">
      <c r="A508" s="169" t="n"/>
      <c r="B508" s="169" t="n"/>
      <c r="C508" s="169" t="n"/>
      <c r="D508" s="169" t="n"/>
      <c r="E508" s="169" t="n"/>
    </row>
    <row r="509">
      <c r="A509" s="169" t="n"/>
      <c r="B509" s="169" t="n"/>
      <c r="C509" s="169" t="n"/>
      <c r="D509" s="169" t="n"/>
      <c r="E509" s="169" t="n"/>
    </row>
    <row r="510">
      <c r="A510" s="169" t="n"/>
      <c r="B510" s="169" t="n"/>
      <c r="C510" s="169" t="n"/>
      <c r="D510" s="169" t="n"/>
      <c r="E510" s="169" t="n"/>
    </row>
    <row r="511">
      <c r="A511" s="169" t="n"/>
      <c r="B511" s="169" t="n"/>
      <c r="C511" s="169" t="n"/>
      <c r="D511" s="169" t="n"/>
      <c r="E511" s="169" t="n"/>
    </row>
    <row r="512">
      <c r="A512" s="169" t="n"/>
      <c r="B512" s="169" t="n"/>
      <c r="C512" s="169" t="n"/>
      <c r="D512" s="169" t="n"/>
      <c r="E512" s="169" t="n"/>
    </row>
    <row r="513">
      <c r="A513" s="169" t="n"/>
      <c r="B513" s="169" t="n"/>
      <c r="C513" s="169" t="n"/>
      <c r="D513" s="169" t="n"/>
      <c r="E513" s="169" t="n"/>
    </row>
    <row r="514">
      <c r="A514" s="169" t="n"/>
      <c r="B514" s="169" t="n"/>
      <c r="C514" s="169" t="n"/>
      <c r="D514" s="169" t="n"/>
      <c r="E514" s="169" t="n"/>
    </row>
    <row r="515">
      <c r="A515" s="169" t="n"/>
      <c r="B515" s="169" t="n"/>
      <c r="C515" s="169" t="n"/>
      <c r="D515" s="169" t="n"/>
      <c r="E515" s="169" t="n"/>
    </row>
    <row r="516">
      <c r="A516" s="169" t="n"/>
      <c r="B516" s="169" t="n"/>
      <c r="C516" s="169" t="n"/>
      <c r="D516" s="169" t="n"/>
      <c r="E516" s="169" t="n"/>
    </row>
    <row r="517">
      <c r="A517" s="169" t="n"/>
      <c r="B517" s="169" t="n"/>
      <c r="C517" s="169" t="n"/>
      <c r="D517" s="169" t="n"/>
      <c r="E517" s="169" t="n"/>
    </row>
    <row r="518">
      <c r="A518" s="169" t="n"/>
      <c r="B518" s="169" t="n"/>
      <c r="C518" s="169" t="n"/>
      <c r="D518" s="169" t="n"/>
      <c r="E518" s="169" t="n"/>
    </row>
    <row r="519">
      <c r="A519" s="169" t="n"/>
      <c r="B519" s="169" t="n"/>
      <c r="C519" s="169" t="n"/>
      <c r="D519" s="169" t="n"/>
      <c r="E519" s="169" t="n"/>
    </row>
    <row r="520">
      <c r="A520" s="169" t="n"/>
      <c r="B520" s="169" t="n"/>
      <c r="C520" s="169" t="n"/>
      <c r="D520" s="169" t="n"/>
      <c r="E520" s="169" t="n"/>
    </row>
    <row r="521">
      <c r="A521" s="169" t="n"/>
      <c r="B521" s="169" t="n"/>
      <c r="C521" s="169" t="n"/>
      <c r="D521" s="169" t="n"/>
      <c r="E521" s="169" t="n"/>
    </row>
    <row r="522">
      <c r="A522" s="169" t="n"/>
      <c r="B522" s="169" t="n"/>
      <c r="C522" s="169" t="n"/>
      <c r="D522" s="169" t="n"/>
      <c r="E522" s="169" t="n"/>
    </row>
    <row r="523">
      <c r="A523" s="169" t="n"/>
      <c r="B523" s="169" t="n"/>
      <c r="C523" s="169" t="n"/>
      <c r="D523" s="169" t="n"/>
      <c r="E523" s="169" t="n"/>
    </row>
    <row r="524">
      <c r="A524" s="169" t="n"/>
      <c r="B524" s="169" t="n"/>
      <c r="C524" s="169" t="n"/>
      <c r="D524" s="169" t="n"/>
      <c r="E524" s="169" t="n"/>
    </row>
    <row r="525">
      <c r="A525" s="169" t="n"/>
      <c r="B525" s="169" t="n"/>
      <c r="C525" s="169" t="n"/>
      <c r="D525" s="169" t="n"/>
      <c r="E525" s="169" t="n"/>
    </row>
    <row r="526">
      <c r="A526" s="169" t="n"/>
      <c r="B526" s="169" t="n"/>
      <c r="C526" s="169" t="n"/>
      <c r="D526" s="169" t="n"/>
      <c r="E526" s="169" t="n"/>
    </row>
    <row r="527">
      <c r="A527" s="169" t="n"/>
      <c r="B527" s="169" t="n"/>
      <c r="C527" s="169" t="n"/>
      <c r="D527" s="169" t="n"/>
      <c r="E527" s="169" t="n"/>
    </row>
    <row r="528">
      <c r="A528" s="169" t="n"/>
      <c r="B528" s="169" t="n"/>
      <c r="C528" s="169" t="n"/>
      <c r="D528" s="169" t="n"/>
      <c r="E528" s="169" t="n"/>
    </row>
    <row r="529">
      <c r="A529" s="169" t="n"/>
      <c r="B529" s="169" t="n"/>
      <c r="C529" s="169" t="n"/>
      <c r="D529" s="169" t="n"/>
      <c r="E529" s="169" t="n"/>
    </row>
    <row r="530">
      <c r="A530" s="169" t="n"/>
      <c r="B530" s="169" t="n"/>
      <c r="C530" s="169" t="n"/>
      <c r="D530" s="169" t="n"/>
      <c r="E530" s="169" t="n"/>
    </row>
    <row r="531">
      <c r="A531" s="169" t="n"/>
      <c r="B531" s="169" t="n"/>
      <c r="C531" s="169" t="n"/>
      <c r="D531" s="169" t="n"/>
      <c r="E531" s="169" t="n"/>
    </row>
    <row r="532">
      <c r="A532" s="169" t="n"/>
      <c r="B532" s="169" t="n"/>
      <c r="C532" s="169" t="n"/>
      <c r="D532" s="169" t="n"/>
      <c r="E532" s="169" t="n"/>
    </row>
    <row r="533">
      <c r="A533" s="169" t="n"/>
      <c r="B533" s="169" t="n"/>
      <c r="C533" s="169" t="n"/>
      <c r="D533" s="169" t="n"/>
      <c r="E533" s="169" t="n"/>
    </row>
    <row r="534">
      <c r="A534" s="169" t="n"/>
      <c r="B534" s="169" t="n"/>
      <c r="C534" s="169" t="n"/>
      <c r="D534" s="169" t="n"/>
      <c r="E534" s="169" t="n"/>
    </row>
    <row r="535">
      <c r="A535" s="169" t="n"/>
      <c r="B535" s="169" t="n"/>
      <c r="C535" s="169" t="n"/>
      <c r="D535" s="169" t="n"/>
      <c r="E535" s="169" t="n"/>
    </row>
    <row r="536">
      <c r="A536" s="169" t="n"/>
      <c r="B536" s="169" t="n"/>
      <c r="C536" s="169" t="n"/>
      <c r="D536" s="169" t="n"/>
      <c r="E536" s="169" t="n"/>
    </row>
    <row r="537">
      <c r="A537" s="169" t="n"/>
      <c r="B537" s="169" t="n"/>
      <c r="C537" s="169" t="n"/>
      <c r="D537" s="169" t="n"/>
      <c r="E537" s="169" t="n"/>
    </row>
    <row r="538">
      <c r="A538" s="169" t="n"/>
      <c r="B538" s="169" t="n"/>
      <c r="C538" s="169" t="n"/>
      <c r="D538" s="169" t="n"/>
      <c r="E538" s="169" t="n"/>
    </row>
    <row r="539">
      <c r="A539" s="169" t="n"/>
      <c r="B539" s="169" t="n"/>
      <c r="C539" s="169" t="n"/>
      <c r="D539" s="169" t="n"/>
      <c r="E539" s="169" t="n"/>
    </row>
    <row r="540">
      <c r="A540" s="169" t="n"/>
      <c r="B540" s="169" t="n"/>
      <c r="C540" s="169" t="n"/>
      <c r="D540" s="169" t="n"/>
      <c r="E540" s="169" t="n"/>
    </row>
    <row r="541">
      <c r="A541" s="169" t="n"/>
      <c r="B541" s="169" t="n"/>
      <c r="C541" s="169" t="n"/>
      <c r="D541" s="169" t="n"/>
      <c r="E541" s="169" t="n"/>
    </row>
    <row r="542">
      <c r="A542" s="169" t="n"/>
      <c r="B542" s="169" t="n"/>
      <c r="C542" s="169" t="n"/>
      <c r="D542" s="169" t="n"/>
      <c r="E542" s="169" t="n"/>
    </row>
    <row r="543">
      <c r="A543" s="169" t="n"/>
      <c r="B543" s="169" t="n"/>
      <c r="C543" s="169" t="n"/>
      <c r="D543" s="169" t="n"/>
      <c r="E543" s="169" t="n"/>
    </row>
    <row r="544">
      <c r="A544" s="169" t="n"/>
      <c r="B544" s="169" t="n"/>
      <c r="C544" s="169" t="n"/>
      <c r="D544" s="169" t="n"/>
      <c r="E544" s="169" t="n"/>
    </row>
    <row r="545">
      <c r="A545" s="169" t="n"/>
      <c r="B545" s="169" t="n"/>
      <c r="C545" s="169" t="n"/>
      <c r="D545" s="169" t="n"/>
      <c r="E545" s="169" t="n"/>
    </row>
    <row r="546">
      <c r="A546" s="169" t="n"/>
      <c r="B546" s="169" t="n"/>
      <c r="C546" s="169" t="n"/>
      <c r="D546" s="169" t="n"/>
      <c r="E546" s="169" t="n"/>
    </row>
    <row r="547">
      <c r="A547" s="169" t="n"/>
      <c r="B547" s="169" t="n"/>
      <c r="C547" s="169" t="n"/>
      <c r="D547" s="169" t="n"/>
      <c r="E547" s="169" t="n"/>
    </row>
    <row r="548">
      <c r="A548" s="169" t="n"/>
      <c r="B548" s="169" t="n"/>
      <c r="C548" s="169" t="n"/>
      <c r="D548" s="169" t="n"/>
      <c r="E548" s="169" t="n"/>
    </row>
    <row r="549">
      <c r="A549" s="169" t="n"/>
      <c r="B549" s="169" t="n"/>
      <c r="C549" s="169" t="n"/>
      <c r="D549" s="169" t="n"/>
      <c r="E549" s="169" t="n"/>
    </row>
    <row r="550">
      <c r="A550" s="169" t="n"/>
      <c r="B550" s="169" t="n"/>
      <c r="C550" s="169" t="n"/>
      <c r="D550" s="169" t="n"/>
      <c r="E550" s="169" t="n"/>
    </row>
    <row r="551">
      <c r="A551" s="169" t="n"/>
      <c r="B551" s="169" t="n"/>
      <c r="C551" s="169" t="n"/>
      <c r="D551" s="169" t="n"/>
      <c r="E551" s="169" t="n"/>
    </row>
    <row r="552">
      <c r="A552" s="169" t="n"/>
      <c r="B552" s="169" t="n"/>
      <c r="C552" s="169" t="n"/>
      <c r="D552" s="169" t="n"/>
      <c r="E552" s="169" t="n"/>
    </row>
    <row r="553">
      <c r="A553" s="169" t="n"/>
      <c r="B553" s="169" t="n"/>
      <c r="C553" s="169" t="n"/>
      <c r="D553" s="169" t="n"/>
      <c r="E553" s="169" t="n"/>
    </row>
    <row r="554">
      <c r="A554" s="169" t="n"/>
      <c r="B554" s="169" t="n"/>
      <c r="C554" s="169" t="n"/>
      <c r="D554" s="169" t="n"/>
      <c r="E554" s="169" t="n"/>
    </row>
    <row r="555">
      <c r="A555" s="169" t="n"/>
      <c r="B555" s="169" t="n"/>
      <c r="C555" s="169" t="n"/>
      <c r="D555" s="169" t="n"/>
      <c r="E555" s="169" t="n"/>
    </row>
    <row r="556">
      <c r="A556" s="169" t="n"/>
      <c r="B556" s="169" t="n"/>
      <c r="C556" s="169" t="n"/>
      <c r="D556" s="169" t="n"/>
      <c r="E556" s="169" t="n"/>
    </row>
    <row r="557">
      <c r="A557" s="169" t="n"/>
      <c r="B557" s="169" t="n"/>
      <c r="C557" s="169" t="n"/>
      <c r="D557" s="169" t="n"/>
      <c r="E557" s="169" t="n"/>
    </row>
    <row r="558">
      <c r="A558" s="169" t="n"/>
      <c r="B558" s="169" t="n"/>
      <c r="C558" s="169" t="n"/>
      <c r="D558" s="169" t="n"/>
      <c r="E558" s="169" t="n"/>
    </row>
    <row r="559">
      <c r="A559" s="169" t="n"/>
      <c r="B559" s="169" t="n"/>
      <c r="C559" s="169" t="n"/>
      <c r="D559" s="169" t="n"/>
      <c r="E559" s="169" t="n"/>
    </row>
    <row r="560">
      <c r="A560" s="169" t="n"/>
      <c r="B560" s="169" t="n"/>
      <c r="C560" s="169" t="n"/>
      <c r="D560" s="169" t="n"/>
      <c r="E560" s="169" t="n"/>
    </row>
    <row r="561">
      <c r="A561" s="169" t="n"/>
      <c r="B561" s="169" t="n"/>
      <c r="C561" s="169" t="n"/>
      <c r="D561" s="169" t="n"/>
      <c r="E561" s="169" t="n"/>
    </row>
    <row r="562">
      <c r="A562" s="169" t="n"/>
      <c r="B562" s="169" t="n"/>
      <c r="C562" s="169" t="n"/>
      <c r="D562" s="169" t="n"/>
      <c r="E562" s="169" t="n"/>
    </row>
    <row r="563">
      <c r="A563" s="169" t="n"/>
      <c r="B563" s="169" t="n"/>
      <c r="C563" s="169" t="n"/>
      <c r="D563" s="169" t="n"/>
      <c r="E563" s="169" t="n"/>
    </row>
    <row r="564">
      <c r="A564" s="169" t="n"/>
      <c r="B564" s="169" t="n"/>
      <c r="C564" s="169" t="n"/>
      <c r="D564" s="169" t="n"/>
      <c r="E564" s="169" t="n"/>
    </row>
    <row r="565">
      <c r="A565" s="169" t="n"/>
      <c r="B565" s="169" t="n"/>
      <c r="C565" s="169" t="n"/>
      <c r="D565" s="169" t="n"/>
      <c r="E565" s="169" t="n"/>
    </row>
    <row r="566">
      <c r="A566" s="169" t="n"/>
      <c r="B566" s="169" t="n"/>
      <c r="C566" s="169" t="n"/>
      <c r="D566" s="169" t="n"/>
      <c r="E566" s="169" t="n"/>
    </row>
    <row r="567">
      <c r="A567" s="169" t="n"/>
      <c r="B567" s="169" t="n"/>
      <c r="C567" s="169" t="n"/>
      <c r="D567" s="169" t="n"/>
      <c r="E567" s="169" t="n"/>
    </row>
    <row r="568">
      <c r="A568" s="169" t="n"/>
      <c r="B568" s="169" t="n"/>
      <c r="C568" s="169" t="n"/>
      <c r="D568" s="169" t="n"/>
      <c r="E568" s="169" t="n"/>
    </row>
    <row r="569">
      <c r="A569" s="169" t="n"/>
      <c r="B569" s="169" t="n"/>
      <c r="C569" s="169" t="n"/>
      <c r="D569" s="169" t="n"/>
      <c r="E569" s="169" t="n"/>
    </row>
    <row r="570">
      <c r="A570" s="169" t="n"/>
      <c r="B570" s="169" t="n"/>
      <c r="C570" s="169" t="n"/>
      <c r="D570" s="169" t="n"/>
      <c r="E570" s="169" t="n"/>
    </row>
    <row r="571">
      <c r="A571" s="169" t="n"/>
      <c r="B571" s="169" t="n"/>
      <c r="C571" s="169" t="n"/>
      <c r="D571" s="169" t="n"/>
      <c r="E571" s="169" t="n"/>
    </row>
    <row r="572">
      <c r="A572" s="169" t="n"/>
      <c r="B572" s="169" t="n"/>
      <c r="C572" s="169" t="n"/>
      <c r="D572" s="169" t="n"/>
      <c r="E572" s="169" t="n"/>
    </row>
    <row r="573">
      <c r="A573" s="169" t="n"/>
      <c r="B573" s="169" t="n"/>
      <c r="C573" s="169" t="n"/>
      <c r="D573" s="169" t="n"/>
      <c r="E573" s="169" t="n"/>
    </row>
    <row r="574">
      <c r="A574" s="169" t="n"/>
      <c r="B574" s="169" t="n"/>
      <c r="C574" s="169" t="n"/>
      <c r="D574" s="169" t="n"/>
      <c r="E574" s="169" t="n"/>
    </row>
    <row r="575">
      <c r="A575" s="169" t="n"/>
      <c r="B575" s="169" t="n"/>
      <c r="C575" s="169" t="n"/>
      <c r="D575" s="169" t="n"/>
      <c r="E575" s="169" t="n"/>
    </row>
    <row r="576">
      <c r="A576" s="169" t="n"/>
      <c r="B576" s="169" t="n"/>
      <c r="C576" s="169" t="n"/>
      <c r="D576" s="169" t="n"/>
      <c r="E576" s="169" t="n"/>
    </row>
    <row r="577">
      <c r="A577" s="169" t="n"/>
      <c r="B577" s="169" t="n"/>
      <c r="C577" s="169" t="n"/>
      <c r="D577" s="169" t="n"/>
      <c r="E577" s="169" t="n"/>
    </row>
    <row r="578">
      <c r="A578" s="169" t="n"/>
      <c r="B578" s="169" t="n"/>
      <c r="C578" s="169" t="n"/>
      <c r="D578" s="169" t="n"/>
      <c r="E578" s="169" t="n"/>
    </row>
    <row r="579">
      <c r="A579" s="169" t="n"/>
      <c r="B579" s="169" t="n"/>
      <c r="C579" s="169" t="n"/>
      <c r="D579" s="169" t="n"/>
      <c r="E579" s="169" t="n"/>
    </row>
    <row r="580">
      <c r="A580" s="169" t="n"/>
      <c r="B580" s="169" t="n"/>
      <c r="C580" s="169" t="n"/>
      <c r="D580" s="169" t="n"/>
      <c r="E580" s="169" t="n"/>
    </row>
    <row r="581">
      <c r="A581" s="169" t="n"/>
      <c r="B581" s="169" t="n"/>
      <c r="C581" s="169" t="n"/>
      <c r="D581" s="169" t="n"/>
      <c r="E581" s="169" t="n"/>
    </row>
    <row r="582">
      <c r="A582" s="169" t="n"/>
      <c r="B582" s="169" t="n"/>
      <c r="C582" s="169" t="n"/>
      <c r="D582" s="169" t="n"/>
      <c r="E582" s="169" t="n"/>
    </row>
    <row r="583">
      <c r="A583" s="169" t="n"/>
      <c r="B583" s="169" t="n"/>
      <c r="C583" s="169" t="n"/>
      <c r="D583" s="169" t="n"/>
      <c r="E583" s="169" t="n"/>
    </row>
    <row r="584">
      <c r="A584" s="169" t="n"/>
      <c r="B584" s="169" t="n"/>
      <c r="C584" s="169" t="n"/>
      <c r="D584" s="169" t="n"/>
      <c r="E584" s="169" t="n"/>
    </row>
    <row r="585">
      <c r="A585" s="169" t="n"/>
      <c r="B585" s="169" t="n"/>
      <c r="C585" s="169" t="n"/>
      <c r="D585" s="169" t="n"/>
      <c r="E585" s="169" t="n"/>
    </row>
    <row r="586">
      <c r="A586" s="169" t="n"/>
      <c r="B586" s="169" t="n"/>
      <c r="C586" s="169" t="n"/>
      <c r="D586" s="169" t="n"/>
      <c r="E586" s="169" t="n"/>
    </row>
    <row r="587">
      <c r="A587" s="169" t="n"/>
      <c r="B587" s="169" t="n"/>
      <c r="C587" s="169" t="n"/>
      <c r="D587" s="169" t="n"/>
      <c r="E587" s="169" t="n"/>
    </row>
    <row r="588">
      <c r="A588" s="169" t="n"/>
      <c r="B588" s="169" t="n"/>
      <c r="C588" s="169" t="n"/>
      <c r="D588" s="169" t="n"/>
      <c r="E588" s="169" t="n"/>
    </row>
    <row r="589">
      <c r="A589" s="169" t="n"/>
      <c r="B589" s="169" t="n"/>
      <c r="C589" s="169" t="n"/>
      <c r="D589" s="169" t="n"/>
      <c r="E589" s="169" t="n"/>
    </row>
    <row r="590">
      <c r="A590" s="169" t="n"/>
      <c r="B590" s="169" t="n"/>
      <c r="C590" s="169" t="n"/>
      <c r="D590" s="169" t="n"/>
      <c r="E590" s="169" t="n"/>
    </row>
    <row r="591">
      <c r="A591" s="169" t="n"/>
      <c r="B591" s="169" t="n"/>
      <c r="C591" s="169" t="n"/>
      <c r="D591" s="169" t="n"/>
      <c r="E591" s="169" t="n"/>
    </row>
    <row r="592">
      <c r="A592" s="169" t="n"/>
      <c r="B592" s="169" t="n"/>
      <c r="C592" s="169" t="n"/>
      <c r="D592" s="169" t="n"/>
      <c r="E592" s="169" t="n"/>
    </row>
    <row r="593">
      <c r="A593" s="169" t="n"/>
      <c r="B593" s="169" t="n"/>
      <c r="C593" s="169" t="n"/>
      <c r="D593" s="169" t="n"/>
      <c r="E593" s="169" t="n"/>
    </row>
    <row r="594">
      <c r="A594" s="169" t="n"/>
      <c r="B594" s="169" t="n"/>
      <c r="C594" s="169" t="n"/>
      <c r="D594" s="169" t="n"/>
      <c r="E594" s="169" t="n"/>
    </row>
    <row r="595">
      <c r="A595" s="169" t="n"/>
      <c r="B595" s="169" t="n"/>
      <c r="C595" s="169" t="n"/>
      <c r="D595" s="169" t="n"/>
      <c r="E595" s="169" t="n"/>
    </row>
    <row r="596">
      <c r="A596" s="169" t="n"/>
      <c r="B596" s="169" t="n"/>
      <c r="C596" s="169" t="n"/>
      <c r="D596" s="169" t="n"/>
      <c r="E596" s="169" t="n"/>
    </row>
    <row r="597">
      <c r="A597" s="169" t="n"/>
      <c r="B597" s="169" t="n"/>
      <c r="C597" s="169" t="n"/>
      <c r="D597" s="169" t="n"/>
      <c r="E597" s="169" t="n"/>
    </row>
    <row r="598">
      <c r="A598" s="169" t="n"/>
      <c r="B598" s="169" t="n"/>
      <c r="C598" s="169" t="n"/>
      <c r="D598" s="169" t="n"/>
      <c r="E598" s="169" t="n"/>
    </row>
    <row r="599">
      <c r="A599" s="169" t="n"/>
      <c r="B599" s="169" t="n"/>
      <c r="C599" s="169" t="n"/>
      <c r="D599" s="169" t="n"/>
      <c r="E599" s="169" t="n"/>
    </row>
    <row r="600">
      <c r="A600" s="169" t="n"/>
      <c r="B600" s="169" t="n"/>
      <c r="C600" s="169" t="n"/>
      <c r="D600" s="169" t="n"/>
      <c r="E600" s="169" t="n"/>
    </row>
    <row r="601">
      <c r="A601" s="169" t="n"/>
      <c r="B601" s="169" t="n"/>
      <c r="C601" s="169" t="n"/>
      <c r="D601" s="169" t="n"/>
      <c r="E601" s="169" t="n"/>
    </row>
    <row r="602">
      <c r="A602" s="169" t="n"/>
      <c r="B602" s="169" t="n"/>
      <c r="C602" s="169" t="n"/>
      <c r="D602" s="169" t="n"/>
      <c r="E602" s="169" t="n"/>
    </row>
    <row r="603">
      <c r="A603" s="169" t="n"/>
      <c r="B603" s="169" t="n"/>
      <c r="C603" s="169" t="n"/>
      <c r="D603" s="169" t="n"/>
      <c r="E603" s="169" t="n"/>
    </row>
    <row r="604">
      <c r="A604" s="169" t="n"/>
      <c r="B604" s="169" t="n"/>
      <c r="C604" s="169" t="n"/>
      <c r="D604" s="169" t="n"/>
      <c r="E604" s="169" t="n"/>
    </row>
    <row r="605">
      <c r="A605" s="169" t="n"/>
      <c r="B605" s="169" t="n"/>
      <c r="C605" s="169" t="n"/>
      <c r="D605" s="169" t="n"/>
      <c r="E605" s="169" t="n"/>
    </row>
    <row r="606">
      <c r="A606" s="169" t="n"/>
      <c r="B606" s="169" t="n"/>
      <c r="C606" s="169" t="n"/>
      <c r="D606" s="169" t="n"/>
      <c r="E606" s="169" t="n"/>
    </row>
    <row r="607">
      <c r="A607" s="169" t="n"/>
      <c r="B607" s="169" t="n"/>
      <c r="C607" s="169" t="n"/>
      <c r="D607" s="169" t="n"/>
      <c r="E607" s="169" t="n"/>
    </row>
    <row r="608">
      <c r="A608" s="169" t="n"/>
      <c r="B608" s="169" t="n"/>
      <c r="C608" s="169" t="n"/>
      <c r="D608" s="169" t="n"/>
      <c r="E608" s="169" t="n"/>
    </row>
    <row r="609">
      <c r="A609" s="169" t="n"/>
      <c r="B609" s="169" t="n"/>
      <c r="C609" s="169" t="n"/>
      <c r="D609" s="169" t="n"/>
      <c r="E609" s="169" t="n"/>
    </row>
    <row r="610">
      <c r="A610" s="169" t="n"/>
      <c r="B610" s="169" t="n"/>
      <c r="C610" s="169" t="n"/>
      <c r="D610" s="169" t="n"/>
      <c r="E610" s="169" t="n"/>
    </row>
    <row r="611">
      <c r="A611" s="169" t="n"/>
      <c r="B611" s="169" t="n"/>
      <c r="C611" s="169" t="n"/>
      <c r="D611" s="169" t="n"/>
      <c r="E611" s="169" t="n"/>
    </row>
    <row r="612">
      <c r="A612" s="169" t="n"/>
      <c r="B612" s="169" t="n"/>
      <c r="C612" s="169" t="n"/>
      <c r="D612" s="169" t="n"/>
      <c r="E612" s="169" t="n"/>
    </row>
    <row r="613">
      <c r="A613" s="169" t="n"/>
      <c r="B613" s="169" t="n"/>
      <c r="C613" s="169" t="n"/>
      <c r="D613" s="169" t="n"/>
      <c r="E613" s="169" t="n"/>
    </row>
    <row r="614">
      <c r="A614" s="169" t="n"/>
      <c r="B614" s="169" t="n"/>
      <c r="C614" s="169" t="n"/>
      <c r="D614" s="169" t="n"/>
      <c r="E614" s="169" t="n"/>
    </row>
    <row r="615">
      <c r="A615" s="169" t="n"/>
      <c r="B615" s="169" t="n"/>
      <c r="C615" s="169" t="n"/>
      <c r="D615" s="169" t="n"/>
      <c r="E615" s="169" t="n"/>
    </row>
    <row r="616">
      <c r="A616" s="169" t="n"/>
      <c r="B616" s="169" t="n"/>
      <c r="C616" s="169" t="n"/>
      <c r="D616" s="169" t="n"/>
      <c r="E616" s="169" t="n"/>
    </row>
    <row r="617">
      <c r="A617" s="169" t="n"/>
      <c r="B617" s="169" t="n"/>
      <c r="C617" s="169" t="n"/>
      <c r="D617" s="169" t="n"/>
      <c r="E617" s="169" t="n"/>
    </row>
    <row r="618">
      <c r="A618" s="169" t="n"/>
      <c r="B618" s="169" t="n"/>
      <c r="C618" s="169" t="n"/>
      <c r="D618" s="169" t="n"/>
      <c r="E618" s="169" t="n"/>
    </row>
    <row r="619">
      <c r="A619" s="169" t="n"/>
      <c r="B619" s="169" t="n"/>
      <c r="C619" s="169" t="n"/>
      <c r="D619" s="169" t="n"/>
      <c r="E619" s="169" t="n"/>
    </row>
    <row r="620">
      <c r="A620" s="169" t="n"/>
      <c r="B620" s="169" t="n"/>
      <c r="C620" s="169" t="n"/>
      <c r="D620" s="169" t="n"/>
      <c r="E620" s="169" t="n"/>
    </row>
    <row r="621">
      <c r="A621" s="169" t="n"/>
      <c r="B621" s="169" t="n"/>
      <c r="C621" s="169" t="n"/>
      <c r="D621" s="169" t="n"/>
      <c r="E621" s="169" t="n"/>
    </row>
    <row r="622">
      <c r="A622" s="169" t="n"/>
      <c r="B622" s="169" t="n"/>
      <c r="C622" s="169" t="n"/>
      <c r="D622" s="169" t="n"/>
      <c r="E622" s="169" t="n"/>
    </row>
    <row r="623">
      <c r="A623" s="169" t="n"/>
      <c r="B623" s="169" t="n"/>
      <c r="C623" s="169" t="n"/>
      <c r="D623" s="169" t="n"/>
      <c r="E623" s="169" t="n"/>
    </row>
    <row r="624">
      <c r="A624" s="169" t="n"/>
      <c r="B624" s="169" t="n"/>
      <c r="C624" s="169" t="n"/>
      <c r="D624" s="169" t="n"/>
      <c r="E624" s="169" t="n"/>
    </row>
    <row r="625">
      <c r="A625" s="169" t="n"/>
      <c r="B625" s="169" t="n"/>
      <c r="C625" s="169" t="n"/>
      <c r="D625" s="169" t="n"/>
      <c r="E625" s="169" t="n"/>
    </row>
    <row r="626">
      <c r="A626" s="169" t="n"/>
      <c r="B626" s="169" t="n"/>
      <c r="C626" s="169" t="n"/>
      <c r="D626" s="169" t="n"/>
      <c r="E626" s="169" t="n"/>
    </row>
    <row r="627">
      <c r="A627" s="169" t="n"/>
      <c r="B627" s="169" t="n"/>
      <c r="C627" s="169" t="n"/>
      <c r="D627" s="169" t="n"/>
      <c r="E627" s="169" t="n"/>
    </row>
    <row r="628">
      <c r="A628" s="169" t="n"/>
      <c r="B628" s="169" t="n"/>
      <c r="C628" s="169" t="n"/>
      <c r="D628" s="169" t="n"/>
      <c r="E628" s="169" t="n"/>
    </row>
    <row r="629">
      <c r="A629" s="169" t="n"/>
      <c r="B629" s="169" t="n"/>
      <c r="C629" s="169" t="n"/>
      <c r="D629" s="169" t="n"/>
      <c r="E629" s="169" t="n"/>
    </row>
    <row r="630">
      <c r="A630" s="169" t="n"/>
      <c r="B630" s="169" t="n"/>
      <c r="C630" s="169" t="n"/>
      <c r="D630" s="169" t="n"/>
      <c r="E630" s="169" t="n"/>
    </row>
    <row r="631">
      <c r="A631" s="169" t="n"/>
      <c r="B631" s="169" t="n"/>
      <c r="C631" s="169" t="n"/>
      <c r="D631" s="169" t="n"/>
      <c r="E631" s="169" t="n"/>
    </row>
    <row r="632">
      <c r="A632" s="169" t="n"/>
      <c r="B632" s="169" t="n"/>
      <c r="C632" s="169" t="n"/>
      <c r="D632" s="169" t="n"/>
      <c r="E632" s="169" t="n"/>
    </row>
    <row r="633">
      <c r="A633" s="169" t="n"/>
      <c r="B633" s="169" t="n"/>
      <c r="C633" s="169" t="n"/>
      <c r="D633" s="169" t="n"/>
      <c r="E633" s="169" t="n"/>
    </row>
    <row r="634">
      <c r="A634" s="169" t="n"/>
      <c r="B634" s="169" t="n"/>
      <c r="C634" s="169" t="n"/>
      <c r="D634" s="169" t="n"/>
      <c r="E634" s="169" t="n"/>
    </row>
    <row r="635">
      <c r="A635" s="169" t="n"/>
      <c r="B635" s="169" t="n"/>
      <c r="C635" s="169" t="n"/>
      <c r="D635" s="169" t="n"/>
      <c r="E635" s="169" t="n"/>
    </row>
    <row r="636">
      <c r="A636" s="169" t="n"/>
      <c r="B636" s="169" t="n"/>
      <c r="C636" s="169" t="n"/>
      <c r="D636" s="169" t="n"/>
      <c r="E636" s="169" t="n"/>
    </row>
    <row r="637">
      <c r="A637" s="169" t="n"/>
      <c r="B637" s="169" t="n"/>
      <c r="C637" s="169" t="n"/>
      <c r="D637" s="169" t="n"/>
      <c r="E637" s="169" t="n"/>
    </row>
    <row r="638">
      <c r="A638" s="169" t="n"/>
      <c r="B638" s="169" t="n"/>
      <c r="C638" s="169" t="n"/>
      <c r="D638" s="169" t="n"/>
      <c r="E638" s="169" t="n"/>
    </row>
    <row r="639">
      <c r="A639" s="169" t="n"/>
      <c r="B639" s="169" t="n"/>
      <c r="C639" s="169" t="n"/>
      <c r="D639" s="169" t="n"/>
      <c r="E639" s="169" t="n"/>
    </row>
    <row r="640">
      <c r="A640" s="169" t="n"/>
      <c r="B640" s="169" t="n"/>
      <c r="C640" s="169" t="n"/>
      <c r="D640" s="169" t="n"/>
      <c r="E640" s="169" t="n"/>
    </row>
    <row r="641">
      <c r="A641" s="169" t="n"/>
      <c r="B641" s="169" t="n"/>
      <c r="C641" s="169" t="n"/>
      <c r="D641" s="169" t="n"/>
      <c r="E641" s="169" t="n"/>
    </row>
    <row r="642">
      <c r="A642" s="169" t="n"/>
      <c r="B642" s="169" t="n"/>
      <c r="C642" s="169" t="n"/>
      <c r="D642" s="169" t="n"/>
      <c r="E642" s="169" t="n"/>
    </row>
    <row r="643">
      <c r="A643" s="169" t="n"/>
      <c r="B643" s="169" t="n"/>
      <c r="C643" s="169" t="n"/>
      <c r="D643" s="169" t="n"/>
      <c r="E643" s="169" t="n"/>
    </row>
    <row r="644">
      <c r="A644" s="169" t="n"/>
      <c r="B644" s="169" t="n"/>
      <c r="C644" s="169" t="n"/>
      <c r="D644" s="169" t="n"/>
      <c r="E644" s="169" t="n"/>
    </row>
    <row r="645">
      <c r="A645" s="169" t="n"/>
      <c r="B645" s="169" t="n"/>
      <c r="C645" s="169" t="n"/>
      <c r="D645" s="169" t="n"/>
      <c r="E645" s="169" t="n"/>
    </row>
    <row r="646">
      <c r="A646" s="169" t="n"/>
      <c r="B646" s="169" t="n"/>
      <c r="C646" s="169" t="n"/>
      <c r="D646" s="169" t="n"/>
      <c r="E646" s="169" t="n"/>
    </row>
    <row r="647">
      <c r="A647" s="169" t="n"/>
      <c r="B647" s="169" t="n"/>
      <c r="C647" s="169" t="n"/>
      <c r="D647" s="169" t="n"/>
      <c r="E647" s="169" t="n"/>
    </row>
    <row r="648">
      <c r="A648" s="169" t="n"/>
      <c r="B648" s="169" t="n"/>
      <c r="C648" s="169" t="n"/>
      <c r="D648" s="169" t="n"/>
      <c r="E648" s="169" t="n"/>
    </row>
    <row r="649">
      <c r="A649" s="169" t="n"/>
      <c r="B649" s="169" t="n"/>
      <c r="C649" s="169" t="n"/>
      <c r="D649" s="169" t="n"/>
      <c r="E649" s="169" t="n"/>
    </row>
    <row r="650">
      <c r="A650" s="169" t="n"/>
      <c r="B650" s="169" t="n"/>
      <c r="C650" s="169" t="n"/>
      <c r="D650" s="169" t="n"/>
      <c r="E650" s="169" t="n"/>
    </row>
    <row r="651">
      <c r="A651" s="169" t="n"/>
      <c r="B651" s="169" t="n"/>
      <c r="C651" s="169" t="n"/>
      <c r="D651" s="169" t="n"/>
      <c r="E651" s="169" t="n"/>
    </row>
    <row r="652">
      <c r="A652" s="169" t="n"/>
      <c r="B652" s="169" t="n"/>
      <c r="C652" s="169" t="n"/>
      <c r="D652" s="169" t="n"/>
      <c r="E652" s="169" t="n"/>
    </row>
    <row r="653">
      <c r="A653" s="169" t="n"/>
      <c r="B653" s="169" t="n"/>
      <c r="C653" s="169" t="n"/>
      <c r="D653" s="169" t="n"/>
      <c r="E653" s="169" t="n"/>
    </row>
    <row r="654">
      <c r="A654" s="169" t="n"/>
      <c r="B654" s="169" t="n"/>
      <c r="C654" s="169" t="n"/>
      <c r="D654" s="169" t="n"/>
      <c r="E654" s="169" t="n"/>
    </row>
    <row r="655">
      <c r="A655" s="169" t="n"/>
      <c r="B655" s="169" t="n"/>
      <c r="C655" s="169" t="n"/>
      <c r="D655" s="169" t="n"/>
      <c r="E655" s="169" t="n"/>
    </row>
    <row r="656">
      <c r="A656" s="169" t="n"/>
      <c r="B656" s="169" t="n"/>
      <c r="C656" s="169" t="n"/>
      <c r="D656" s="169" t="n"/>
      <c r="E656" s="169" t="n"/>
    </row>
    <row r="657">
      <c r="A657" s="169" t="n"/>
      <c r="B657" s="169" t="n"/>
      <c r="C657" s="169" t="n"/>
      <c r="D657" s="169" t="n"/>
      <c r="E657" s="169" t="n"/>
    </row>
    <row r="658">
      <c r="A658" s="169" t="n"/>
      <c r="B658" s="169" t="n"/>
      <c r="C658" s="169" t="n"/>
      <c r="D658" s="169" t="n"/>
      <c r="E658" s="169" t="n"/>
    </row>
    <row r="659">
      <c r="A659" s="169" t="n"/>
      <c r="B659" s="169" t="n"/>
      <c r="C659" s="169" t="n"/>
      <c r="D659" s="169" t="n"/>
      <c r="E659" s="169" t="n"/>
    </row>
    <row r="660">
      <c r="A660" s="169" t="n"/>
      <c r="B660" s="169" t="n"/>
      <c r="C660" s="169" t="n"/>
      <c r="D660" s="169" t="n"/>
      <c r="E660" s="169" t="n"/>
    </row>
    <row r="661">
      <c r="A661" s="169" t="n"/>
      <c r="B661" s="169" t="n"/>
      <c r="C661" s="169" t="n"/>
      <c r="D661" s="169" t="n"/>
      <c r="E661" s="169" t="n"/>
    </row>
    <row r="662">
      <c r="A662" s="169" t="n"/>
      <c r="B662" s="169" t="n"/>
      <c r="C662" s="169" t="n"/>
      <c r="D662" s="169" t="n"/>
      <c r="E662" s="169" t="n"/>
    </row>
    <row r="663">
      <c r="A663" s="169" t="n"/>
      <c r="B663" s="169" t="n"/>
      <c r="C663" s="169" t="n"/>
      <c r="D663" s="169" t="n"/>
      <c r="E663" s="169" t="n"/>
    </row>
    <row r="664">
      <c r="A664" s="169" t="n"/>
      <c r="B664" s="169" t="n"/>
      <c r="C664" s="169" t="n"/>
      <c r="D664" s="169" t="n"/>
      <c r="E664" s="169" t="n"/>
    </row>
    <row r="665">
      <c r="A665" s="169" t="n"/>
      <c r="B665" s="169" t="n"/>
      <c r="C665" s="169" t="n"/>
      <c r="D665" s="169" t="n"/>
      <c r="E665" s="169" t="n"/>
    </row>
    <row r="666">
      <c r="A666" s="169" t="n"/>
      <c r="B666" s="169" t="n"/>
      <c r="C666" s="169" t="n"/>
      <c r="D666" s="169" t="n"/>
      <c r="E666" s="169" t="n"/>
    </row>
    <row r="667">
      <c r="A667" s="169" t="n"/>
      <c r="B667" s="169" t="n"/>
      <c r="C667" s="169" t="n"/>
      <c r="D667" s="169" t="n"/>
      <c r="E667" s="169" t="n"/>
    </row>
    <row r="668">
      <c r="A668" s="169" t="n"/>
      <c r="B668" s="169" t="n"/>
      <c r="C668" s="169" t="n"/>
      <c r="D668" s="169" t="n"/>
      <c r="E668" s="169" t="n"/>
    </row>
    <row r="669">
      <c r="A669" s="169" t="n"/>
      <c r="B669" s="169" t="n"/>
      <c r="C669" s="169" t="n"/>
      <c r="D669" s="169" t="n"/>
      <c r="E669" s="169" t="n"/>
    </row>
    <row r="670">
      <c r="A670" s="169" t="n"/>
      <c r="B670" s="169" t="n"/>
      <c r="C670" s="169" t="n"/>
      <c r="D670" s="169" t="n"/>
      <c r="E670" s="169" t="n"/>
    </row>
    <row r="671">
      <c r="A671" s="169" t="n"/>
      <c r="B671" s="169" t="n"/>
      <c r="C671" s="169" t="n"/>
      <c r="D671" s="169" t="n"/>
      <c r="E671" s="169" t="n"/>
    </row>
    <row r="672">
      <c r="A672" s="169" t="n"/>
      <c r="B672" s="169" t="n"/>
      <c r="C672" s="169" t="n"/>
      <c r="D672" s="169" t="n"/>
      <c r="E672" s="169" t="n"/>
    </row>
    <row r="673">
      <c r="A673" s="169" t="n"/>
      <c r="B673" s="169" t="n"/>
      <c r="C673" s="169" t="n"/>
      <c r="D673" s="169" t="n"/>
      <c r="E673" s="169" t="n"/>
    </row>
    <row r="674">
      <c r="A674" s="169" t="n"/>
      <c r="B674" s="169" t="n"/>
      <c r="C674" s="169" t="n"/>
      <c r="D674" s="169" t="n"/>
      <c r="E674" s="169" t="n"/>
    </row>
    <row r="675">
      <c r="A675" s="169" t="n"/>
      <c r="B675" s="169" t="n"/>
      <c r="C675" s="169" t="n"/>
      <c r="D675" s="169" t="n"/>
      <c r="E675" s="169" t="n"/>
    </row>
    <row r="676">
      <c r="A676" s="169" t="n"/>
      <c r="B676" s="169" t="n"/>
      <c r="C676" s="169" t="n"/>
      <c r="D676" s="169" t="n"/>
      <c r="E676" s="169" t="n"/>
    </row>
    <row r="677">
      <c r="A677" s="169" t="n"/>
      <c r="B677" s="169" t="n"/>
      <c r="C677" s="169" t="n"/>
      <c r="D677" s="169" t="n"/>
      <c r="E677" s="169" t="n"/>
    </row>
    <row r="678">
      <c r="A678" s="169" t="n"/>
      <c r="B678" s="169" t="n"/>
      <c r="C678" s="169" t="n"/>
      <c r="D678" s="169" t="n"/>
      <c r="E678" s="169" t="n"/>
    </row>
    <row r="679">
      <c r="A679" s="169" t="n"/>
      <c r="B679" s="169" t="n"/>
      <c r="C679" s="169" t="n"/>
      <c r="D679" s="169" t="n"/>
      <c r="E679" s="169" t="n"/>
    </row>
    <row r="680">
      <c r="A680" s="169" t="n"/>
      <c r="B680" s="169" t="n"/>
      <c r="C680" s="169" t="n"/>
      <c r="D680" s="169" t="n"/>
      <c r="E680" s="169" t="n"/>
    </row>
    <row r="681">
      <c r="A681" s="169" t="n"/>
      <c r="B681" s="169" t="n"/>
      <c r="C681" s="169" t="n"/>
      <c r="D681" s="169" t="n"/>
      <c r="E681" s="169" t="n"/>
    </row>
    <row r="682">
      <c r="A682" s="169" t="n"/>
      <c r="B682" s="169" t="n"/>
      <c r="C682" s="169" t="n"/>
      <c r="D682" s="169" t="n"/>
      <c r="E682" s="169" t="n"/>
    </row>
    <row r="683">
      <c r="A683" s="169" t="n"/>
      <c r="B683" s="169" t="n"/>
      <c r="C683" s="169" t="n"/>
      <c r="D683" s="169" t="n"/>
      <c r="E683" s="169" t="n"/>
    </row>
    <row r="684">
      <c r="A684" s="169" t="n"/>
      <c r="B684" s="169" t="n"/>
      <c r="C684" s="169" t="n"/>
      <c r="D684" s="169" t="n"/>
      <c r="E684" s="169" t="n"/>
    </row>
    <row r="685">
      <c r="A685" s="169" t="n"/>
      <c r="B685" s="169" t="n"/>
      <c r="C685" s="169" t="n"/>
      <c r="D685" s="169" t="n"/>
      <c r="E685" s="169" t="n"/>
    </row>
    <row r="686">
      <c r="A686" s="169" t="n"/>
      <c r="B686" s="169" t="n"/>
      <c r="C686" s="169" t="n"/>
      <c r="D686" s="169" t="n"/>
      <c r="E686" s="169" t="n"/>
    </row>
    <row r="687">
      <c r="A687" s="169" t="n"/>
      <c r="B687" s="169" t="n"/>
      <c r="C687" s="169" t="n"/>
      <c r="D687" s="169" t="n"/>
      <c r="E687" s="169" t="n"/>
    </row>
    <row r="688">
      <c r="A688" s="169" t="n"/>
      <c r="B688" s="169" t="n"/>
      <c r="C688" s="169" t="n"/>
      <c r="D688" s="169" t="n"/>
      <c r="E688" s="169" t="n"/>
    </row>
    <row r="689">
      <c r="A689" s="169" t="n"/>
      <c r="B689" s="169" t="n"/>
      <c r="C689" s="169" t="n"/>
      <c r="D689" s="169" t="n"/>
      <c r="E689" s="169" t="n"/>
    </row>
    <row r="690">
      <c r="A690" s="169" t="n"/>
      <c r="B690" s="169" t="n"/>
      <c r="C690" s="169" t="n"/>
      <c r="D690" s="169" t="n"/>
      <c r="E690" s="169" t="n"/>
    </row>
    <row r="691">
      <c r="A691" s="169" t="n"/>
      <c r="B691" s="169" t="n"/>
      <c r="C691" s="169" t="n"/>
      <c r="D691" s="169" t="n"/>
      <c r="E691" s="169" t="n"/>
    </row>
    <row r="692">
      <c r="A692" s="169" t="n"/>
      <c r="B692" s="169" t="n"/>
      <c r="C692" s="169" t="n"/>
      <c r="D692" s="169" t="n"/>
      <c r="E692" s="169" t="n"/>
    </row>
    <row r="693">
      <c r="A693" s="169" t="n"/>
      <c r="B693" s="169" t="n"/>
      <c r="C693" s="169" t="n"/>
      <c r="D693" s="169" t="n"/>
      <c r="E693" s="169" t="n"/>
    </row>
    <row r="694">
      <c r="A694" s="169" t="n"/>
      <c r="B694" s="169" t="n"/>
      <c r="C694" s="169" t="n"/>
      <c r="D694" s="169" t="n"/>
      <c r="E694" s="169" t="n"/>
    </row>
    <row r="695">
      <c r="A695" s="169" t="n"/>
      <c r="B695" s="169" t="n"/>
      <c r="C695" s="169" t="n"/>
      <c r="D695" s="169" t="n"/>
      <c r="E695" s="169" t="n"/>
    </row>
    <row r="696">
      <c r="A696" s="169" t="n"/>
      <c r="B696" s="169" t="n"/>
      <c r="C696" s="169" t="n"/>
      <c r="D696" s="169" t="n"/>
      <c r="E696" s="169" t="n"/>
    </row>
    <row r="697">
      <c r="A697" s="169" t="n"/>
      <c r="B697" s="169" t="n"/>
      <c r="C697" s="169" t="n"/>
      <c r="D697" s="169" t="n"/>
      <c r="E697" s="169" t="n"/>
    </row>
    <row r="698">
      <c r="A698" s="169" t="n"/>
      <c r="B698" s="169" t="n"/>
      <c r="C698" s="169" t="n"/>
      <c r="D698" s="169" t="n"/>
      <c r="E698" s="169" t="n"/>
    </row>
    <row r="699">
      <c r="A699" s="169" t="n"/>
      <c r="B699" s="169" t="n"/>
      <c r="C699" s="169" t="n"/>
      <c r="D699" s="169" t="n"/>
      <c r="E699" s="169" t="n"/>
    </row>
    <row r="700">
      <c r="A700" s="169" t="n"/>
      <c r="B700" s="169" t="n"/>
      <c r="C700" s="169" t="n"/>
      <c r="D700" s="169" t="n"/>
      <c r="E700" s="169" t="n"/>
    </row>
    <row r="701">
      <c r="A701" s="169" t="n"/>
      <c r="B701" s="169" t="n"/>
      <c r="C701" s="169" t="n"/>
      <c r="D701" s="169" t="n"/>
      <c r="E701" s="169" t="n"/>
    </row>
    <row r="702">
      <c r="A702" s="169" t="n"/>
      <c r="B702" s="169" t="n"/>
      <c r="C702" s="169" t="n"/>
      <c r="D702" s="169" t="n"/>
      <c r="E702" s="169" t="n"/>
    </row>
    <row r="703">
      <c r="A703" s="169" t="n"/>
      <c r="B703" s="169" t="n"/>
      <c r="C703" s="169" t="n"/>
      <c r="D703" s="169" t="n"/>
      <c r="E703" s="169" t="n"/>
    </row>
    <row r="704">
      <c r="A704" s="169" t="n"/>
      <c r="B704" s="169" t="n"/>
      <c r="C704" s="169" t="n"/>
      <c r="D704" s="169" t="n"/>
      <c r="E704" s="169" t="n"/>
    </row>
    <row r="705">
      <c r="A705" s="169" t="n"/>
      <c r="B705" s="169" t="n"/>
      <c r="C705" s="169" t="n"/>
      <c r="D705" s="169" t="n"/>
      <c r="E705" s="169" t="n"/>
    </row>
    <row r="706">
      <c r="A706" s="169" t="n"/>
      <c r="B706" s="169" t="n"/>
      <c r="C706" s="169" t="n"/>
      <c r="D706" s="169" t="n"/>
      <c r="E706" s="169" t="n"/>
    </row>
    <row r="707">
      <c r="A707" s="169" t="n"/>
      <c r="B707" s="169" t="n"/>
      <c r="C707" s="169" t="n"/>
      <c r="D707" s="169" t="n"/>
      <c r="E707" s="169" t="n"/>
    </row>
    <row r="708">
      <c r="A708" s="169" t="n"/>
      <c r="B708" s="169" t="n"/>
      <c r="C708" s="169" t="n"/>
      <c r="D708" s="169" t="n"/>
      <c r="E708" s="169" t="n"/>
    </row>
    <row r="709">
      <c r="A709" s="169" t="n"/>
      <c r="B709" s="169" t="n"/>
      <c r="C709" s="169" t="n"/>
      <c r="D709" s="169" t="n"/>
      <c r="E709" s="169" t="n"/>
    </row>
    <row r="710">
      <c r="A710" s="169" t="n"/>
      <c r="B710" s="169" t="n"/>
      <c r="C710" s="169" t="n"/>
      <c r="D710" s="169" t="n"/>
      <c r="E710" s="169" t="n"/>
    </row>
    <row r="711">
      <c r="A711" s="169" t="n"/>
      <c r="B711" s="169" t="n"/>
      <c r="C711" s="169" t="n"/>
      <c r="D711" s="169" t="n"/>
      <c r="E711" s="169" t="n"/>
    </row>
    <row r="712">
      <c r="A712" s="169" t="n"/>
      <c r="B712" s="169" t="n"/>
      <c r="C712" s="169" t="n"/>
      <c r="D712" s="169" t="n"/>
      <c r="E712" s="169" t="n"/>
    </row>
    <row r="713">
      <c r="A713" s="169" t="n"/>
      <c r="B713" s="169" t="n"/>
      <c r="C713" s="169" t="n"/>
      <c r="D713" s="169" t="n"/>
      <c r="E713" s="169" t="n"/>
    </row>
    <row r="714">
      <c r="A714" s="169" t="n"/>
      <c r="B714" s="169" t="n"/>
      <c r="C714" s="169" t="n"/>
      <c r="D714" s="169" t="n"/>
      <c r="E714" s="169" t="n"/>
    </row>
    <row r="715">
      <c r="A715" s="169" t="n"/>
      <c r="B715" s="169" t="n"/>
      <c r="C715" s="169" t="n"/>
      <c r="D715" s="169" t="n"/>
      <c r="E715" s="169" t="n"/>
    </row>
    <row r="716">
      <c r="A716" s="169" t="n"/>
      <c r="B716" s="169" t="n"/>
      <c r="C716" s="169" t="n"/>
      <c r="D716" s="169" t="n"/>
      <c r="E716" s="169" t="n"/>
    </row>
    <row r="717">
      <c r="A717" s="169" t="n"/>
      <c r="B717" s="169" t="n"/>
      <c r="C717" s="169" t="n"/>
      <c r="D717" s="169" t="n"/>
      <c r="E717" s="169" t="n"/>
    </row>
    <row r="718">
      <c r="A718" s="169" t="n"/>
      <c r="B718" s="169" t="n"/>
      <c r="C718" s="169" t="n"/>
      <c r="D718" s="169" t="n"/>
      <c r="E718" s="169" t="n"/>
    </row>
    <row r="719">
      <c r="A719" s="169" t="n"/>
      <c r="B719" s="169" t="n"/>
      <c r="C719" s="169" t="n"/>
      <c r="D719" s="169" t="n"/>
      <c r="E719" s="169" t="n"/>
    </row>
    <row r="720">
      <c r="A720" s="169" t="n"/>
      <c r="B720" s="169" t="n"/>
      <c r="C720" s="169" t="n"/>
      <c r="D720" s="169" t="n"/>
      <c r="E720" s="169" t="n"/>
    </row>
    <row r="721">
      <c r="A721" s="169" t="n"/>
      <c r="B721" s="169" t="n"/>
      <c r="C721" s="169" t="n"/>
      <c r="D721" s="169" t="n"/>
      <c r="E721" s="169" t="n"/>
    </row>
    <row r="722">
      <c r="A722" s="169" t="n"/>
      <c r="B722" s="169" t="n"/>
      <c r="C722" s="169" t="n"/>
      <c r="D722" s="169" t="n"/>
      <c r="E722" s="169" t="n"/>
    </row>
    <row r="723">
      <c r="A723" s="169" t="n"/>
      <c r="B723" s="169" t="n"/>
      <c r="C723" s="169" t="n"/>
      <c r="D723" s="169" t="n"/>
      <c r="E723" s="169" t="n"/>
    </row>
    <row r="724">
      <c r="A724" s="169" t="n"/>
      <c r="B724" s="169" t="n"/>
      <c r="C724" s="169" t="n"/>
      <c r="D724" s="169" t="n"/>
      <c r="E724" s="169" t="n"/>
    </row>
    <row r="725">
      <c r="A725" s="169" t="n"/>
      <c r="B725" s="169" t="n"/>
      <c r="C725" s="169" t="n"/>
      <c r="D725" s="169" t="n"/>
      <c r="E725" s="169" t="n"/>
    </row>
    <row r="726">
      <c r="A726" s="169" t="n"/>
      <c r="B726" s="169" t="n"/>
      <c r="C726" s="169" t="n"/>
      <c r="D726" s="169" t="n"/>
      <c r="E726" s="169" t="n"/>
    </row>
    <row r="727">
      <c r="A727" s="169" t="n"/>
      <c r="B727" s="169" t="n"/>
      <c r="C727" s="169" t="n"/>
      <c r="D727" s="169" t="n"/>
      <c r="E727" s="169" t="n"/>
    </row>
    <row r="728">
      <c r="A728" s="169" t="n"/>
      <c r="B728" s="169" t="n"/>
      <c r="C728" s="169" t="n"/>
      <c r="D728" s="169" t="n"/>
      <c r="E728" s="169" t="n"/>
    </row>
    <row r="729">
      <c r="A729" s="169" t="n"/>
      <c r="B729" s="169" t="n"/>
      <c r="C729" s="169" t="n"/>
      <c r="D729" s="169" t="n"/>
      <c r="E729" s="169" t="n"/>
    </row>
    <row r="730">
      <c r="A730" s="169" t="n"/>
      <c r="B730" s="169" t="n"/>
      <c r="C730" s="169" t="n"/>
      <c r="D730" s="169" t="n"/>
      <c r="E730" s="169" t="n"/>
    </row>
    <row r="731">
      <c r="A731" s="169" t="n"/>
      <c r="B731" s="169" t="n"/>
      <c r="C731" s="169" t="n"/>
      <c r="D731" s="169" t="n"/>
      <c r="E731" s="169" t="n"/>
    </row>
    <row r="732">
      <c r="A732" s="169" t="n"/>
      <c r="B732" s="169" t="n"/>
      <c r="C732" s="169" t="n"/>
      <c r="D732" s="169" t="n"/>
      <c r="E732" s="169" t="n"/>
    </row>
    <row r="733">
      <c r="A733" s="169" t="n"/>
      <c r="B733" s="169" t="n"/>
      <c r="C733" s="169" t="n"/>
      <c r="D733" s="169" t="n"/>
      <c r="E733" s="169" t="n"/>
    </row>
    <row r="734">
      <c r="A734" s="169" t="n"/>
      <c r="B734" s="169" t="n"/>
      <c r="C734" s="169" t="n"/>
      <c r="D734" s="169" t="n"/>
      <c r="E734" s="169" t="n"/>
    </row>
    <row r="735">
      <c r="A735" s="169" t="n"/>
      <c r="B735" s="169" t="n"/>
      <c r="C735" s="169" t="n"/>
      <c r="D735" s="169" t="n"/>
      <c r="E735" s="169" t="n"/>
    </row>
    <row r="736">
      <c r="A736" s="169" t="n"/>
      <c r="B736" s="169" t="n"/>
      <c r="C736" s="169" t="n"/>
      <c r="D736" s="169" t="n"/>
      <c r="E736" s="169" t="n"/>
    </row>
    <row r="737">
      <c r="A737" s="169" t="n"/>
      <c r="B737" s="169" t="n"/>
      <c r="C737" s="169" t="n"/>
      <c r="D737" s="169" t="n"/>
      <c r="E737" s="169" t="n"/>
    </row>
    <row r="738">
      <c r="A738" s="169" t="n"/>
      <c r="B738" s="169" t="n"/>
      <c r="C738" s="169" t="n"/>
      <c r="D738" s="169" t="n"/>
      <c r="E738" s="169" t="n"/>
    </row>
    <row r="739">
      <c r="A739" s="169" t="n"/>
      <c r="B739" s="169" t="n"/>
      <c r="C739" s="169" t="n"/>
      <c r="D739" s="169" t="n"/>
      <c r="E739" s="169" t="n"/>
    </row>
    <row r="740">
      <c r="A740" s="169" t="n"/>
      <c r="B740" s="169" t="n"/>
      <c r="C740" s="169" t="n"/>
      <c r="D740" s="169" t="n"/>
      <c r="E740" s="169" t="n"/>
    </row>
    <row r="741">
      <c r="A741" s="169" t="n"/>
      <c r="B741" s="169" t="n"/>
      <c r="C741" s="169" t="n"/>
      <c r="D741" s="169" t="n"/>
      <c r="E741" s="169" t="n"/>
    </row>
    <row r="742">
      <c r="A742" s="169" t="n"/>
      <c r="B742" s="169" t="n"/>
      <c r="C742" s="169" t="n"/>
      <c r="D742" s="169" t="n"/>
      <c r="E742" s="169" t="n"/>
    </row>
    <row r="743">
      <c r="A743" s="169" t="n"/>
      <c r="B743" s="169" t="n"/>
      <c r="C743" s="169" t="n"/>
      <c r="D743" s="169" t="n"/>
      <c r="E743" s="169" t="n"/>
    </row>
    <row r="744">
      <c r="A744" s="169" t="n"/>
      <c r="B744" s="169" t="n"/>
      <c r="C744" s="169" t="n"/>
      <c r="D744" s="169" t="n"/>
      <c r="E744" s="169" t="n"/>
    </row>
    <row r="745">
      <c r="A745" s="169" t="n"/>
      <c r="B745" s="169" t="n"/>
      <c r="C745" s="169" t="n"/>
      <c r="D745" s="169" t="n"/>
      <c r="E745" s="169" t="n"/>
    </row>
    <row r="746">
      <c r="A746" s="169" t="n"/>
      <c r="B746" s="169" t="n"/>
      <c r="C746" s="169" t="n"/>
      <c r="D746" s="169" t="n"/>
      <c r="E746" s="169" t="n"/>
    </row>
    <row r="747">
      <c r="A747" s="169" t="n"/>
      <c r="B747" s="169" t="n"/>
      <c r="C747" s="169" t="n"/>
      <c r="D747" s="169" t="n"/>
      <c r="E747" s="169" t="n"/>
    </row>
    <row r="748">
      <c r="A748" s="169" t="n"/>
      <c r="B748" s="169" t="n"/>
      <c r="C748" s="169" t="n"/>
      <c r="D748" s="169" t="n"/>
      <c r="E748" s="169" t="n"/>
    </row>
    <row r="749">
      <c r="A749" s="169" t="n"/>
      <c r="B749" s="169" t="n"/>
      <c r="C749" s="169" t="n"/>
      <c r="D749" s="169" t="n"/>
      <c r="E749" s="169" t="n"/>
    </row>
    <row r="750">
      <c r="A750" s="169" t="n"/>
      <c r="B750" s="169" t="n"/>
      <c r="C750" s="169" t="n"/>
      <c r="D750" s="169" t="n"/>
      <c r="E750" s="169" t="n"/>
    </row>
    <row r="751">
      <c r="A751" s="169" t="n"/>
      <c r="B751" s="169" t="n"/>
      <c r="C751" s="169" t="n"/>
      <c r="D751" s="169" t="n"/>
      <c r="E751" s="169" t="n"/>
    </row>
    <row r="752">
      <c r="A752" s="169" t="n"/>
      <c r="B752" s="169" t="n"/>
      <c r="C752" s="169" t="n"/>
      <c r="D752" s="169" t="n"/>
      <c r="E752" s="169" t="n"/>
    </row>
    <row r="753">
      <c r="A753" s="169" t="n"/>
      <c r="B753" s="169" t="n"/>
      <c r="C753" s="169" t="n"/>
      <c r="D753" s="169" t="n"/>
      <c r="E753" s="169" t="n"/>
    </row>
    <row r="754">
      <c r="A754" s="169" t="n"/>
      <c r="B754" s="169" t="n"/>
      <c r="C754" s="169" t="n"/>
      <c r="D754" s="169" t="n"/>
      <c r="E754" s="169" t="n"/>
    </row>
    <row r="755">
      <c r="A755" s="169" t="n"/>
      <c r="B755" s="169" t="n"/>
      <c r="C755" s="169" t="n"/>
      <c r="D755" s="169" t="n"/>
      <c r="E755" s="169" t="n"/>
    </row>
    <row r="756">
      <c r="A756" s="169" t="n"/>
      <c r="B756" s="169" t="n"/>
      <c r="C756" s="169" t="n"/>
      <c r="D756" s="169" t="n"/>
      <c r="E756" s="169" t="n"/>
    </row>
    <row r="757">
      <c r="A757" s="169" t="n"/>
      <c r="B757" s="169" t="n"/>
      <c r="C757" s="169" t="n"/>
      <c r="D757" s="169" t="n"/>
      <c r="E757" s="169" t="n"/>
    </row>
    <row r="758">
      <c r="A758" s="169" t="n"/>
      <c r="B758" s="169" t="n"/>
      <c r="C758" s="169" t="n"/>
      <c r="D758" s="169" t="n"/>
      <c r="E758" s="169" t="n"/>
    </row>
    <row r="759">
      <c r="A759" s="169" t="n"/>
      <c r="B759" s="169" t="n"/>
      <c r="C759" s="169" t="n"/>
      <c r="D759" s="169" t="n"/>
      <c r="E759" s="169" t="n"/>
    </row>
    <row r="760">
      <c r="A760" s="169" t="n"/>
      <c r="B760" s="169" t="n"/>
      <c r="C760" s="169" t="n"/>
      <c r="D760" s="169" t="n"/>
      <c r="E760" s="169" t="n"/>
    </row>
    <row r="761">
      <c r="A761" s="169" t="n"/>
      <c r="B761" s="169" t="n"/>
      <c r="C761" s="169" t="n"/>
      <c r="D761" s="169" t="n"/>
      <c r="E761" s="169" t="n"/>
    </row>
    <row r="762">
      <c r="A762" s="169" t="n"/>
      <c r="B762" s="169" t="n"/>
      <c r="C762" s="169" t="n"/>
      <c r="D762" s="169" t="n"/>
      <c r="E762" s="169" t="n"/>
    </row>
    <row r="763">
      <c r="A763" s="169" t="n"/>
      <c r="B763" s="169" t="n"/>
      <c r="C763" s="169" t="n"/>
      <c r="D763" s="169" t="n"/>
      <c r="E763" s="169" t="n"/>
    </row>
    <row r="764">
      <c r="A764" s="169" t="n"/>
      <c r="B764" s="169" t="n"/>
      <c r="C764" s="169" t="n"/>
      <c r="D764" s="169" t="n"/>
      <c r="E764" s="169" t="n"/>
    </row>
    <row r="765">
      <c r="A765" s="169" t="n"/>
      <c r="B765" s="169" t="n"/>
      <c r="C765" s="169" t="n"/>
      <c r="D765" s="169" t="n"/>
      <c r="E765" s="169" t="n"/>
    </row>
    <row r="766">
      <c r="A766" s="169" t="n"/>
      <c r="B766" s="169" t="n"/>
      <c r="C766" s="169" t="n"/>
      <c r="D766" s="169" t="n"/>
      <c r="E766" s="169" t="n"/>
    </row>
    <row r="767">
      <c r="A767" s="169" t="n"/>
      <c r="B767" s="169" t="n"/>
      <c r="C767" s="169" t="n"/>
      <c r="D767" s="169" t="n"/>
      <c r="E767" s="169" t="n"/>
    </row>
    <row r="768">
      <c r="A768" s="169" t="n"/>
      <c r="B768" s="169" t="n"/>
      <c r="C768" s="169" t="n"/>
      <c r="D768" s="169" t="n"/>
      <c r="E768" s="169" t="n"/>
    </row>
    <row r="769">
      <c r="A769" s="169" t="n"/>
      <c r="B769" s="169" t="n"/>
      <c r="C769" s="169" t="n"/>
      <c r="D769" s="169" t="n"/>
      <c r="E769" s="169" t="n"/>
    </row>
    <row r="770">
      <c r="A770" s="169" t="n"/>
      <c r="B770" s="169" t="n"/>
      <c r="C770" s="169" t="n"/>
      <c r="D770" s="169" t="n"/>
      <c r="E770" s="169" t="n"/>
    </row>
    <row r="771">
      <c r="A771" s="169" t="n"/>
      <c r="B771" s="169" t="n"/>
      <c r="C771" s="169" t="n"/>
      <c r="D771" s="169" t="n"/>
      <c r="E771" s="169" t="n"/>
    </row>
    <row r="772">
      <c r="A772" s="169" t="n"/>
      <c r="B772" s="169" t="n"/>
      <c r="C772" s="169" t="n"/>
      <c r="D772" s="169" t="n"/>
      <c r="E772" s="169" t="n"/>
    </row>
    <row r="773">
      <c r="A773" s="169" t="n"/>
      <c r="B773" s="169" t="n"/>
      <c r="C773" s="169" t="n"/>
      <c r="D773" s="169" t="n"/>
      <c r="E773" s="169" t="n"/>
    </row>
    <row r="774">
      <c r="A774" s="169" t="n"/>
      <c r="B774" s="169" t="n"/>
      <c r="C774" s="169" t="n"/>
      <c r="D774" s="169" t="n"/>
      <c r="E774" s="169" t="n"/>
    </row>
    <row r="775">
      <c r="A775" s="169" t="n"/>
      <c r="B775" s="169" t="n"/>
      <c r="C775" s="169" t="n"/>
      <c r="D775" s="169" t="n"/>
      <c r="E775" s="169" t="n"/>
    </row>
    <row r="776">
      <c r="A776" s="169" t="n"/>
      <c r="B776" s="169" t="n"/>
      <c r="C776" s="169" t="n"/>
      <c r="D776" s="169" t="n"/>
      <c r="E776" s="169" t="n"/>
    </row>
    <row r="777">
      <c r="A777" s="169" t="n"/>
      <c r="B777" s="169" t="n"/>
      <c r="C777" s="169" t="n"/>
      <c r="D777" s="169" t="n"/>
      <c r="E777" s="169" t="n"/>
    </row>
    <row r="778">
      <c r="A778" s="169" t="n"/>
      <c r="B778" s="169" t="n"/>
      <c r="C778" s="169" t="n"/>
      <c r="D778" s="169" t="n"/>
      <c r="E778" s="169" t="n"/>
    </row>
    <row r="779">
      <c r="A779" s="169" t="n"/>
      <c r="B779" s="169" t="n"/>
      <c r="C779" s="169" t="n"/>
      <c r="D779" s="169" t="n"/>
      <c r="E779" s="169" t="n"/>
    </row>
    <row r="780">
      <c r="A780" s="169" t="n"/>
      <c r="B780" s="169" t="n"/>
      <c r="C780" s="169" t="n"/>
      <c r="D780" s="169" t="n"/>
      <c r="E780" s="169" t="n"/>
    </row>
    <row r="781">
      <c r="A781" s="169" t="n"/>
      <c r="B781" s="169" t="n"/>
      <c r="C781" s="169" t="n"/>
      <c r="D781" s="169" t="n"/>
      <c r="E781" s="169" t="n"/>
    </row>
    <row r="782">
      <c r="A782" s="169" t="n"/>
      <c r="B782" s="169" t="n"/>
      <c r="C782" s="169" t="n"/>
      <c r="D782" s="169" t="n"/>
      <c r="E782" s="169" t="n"/>
    </row>
    <row r="783">
      <c r="A783" s="169" t="n"/>
      <c r="B783" s="169" t="n"/>
      <c r="C783" s="169" t="n"/>
      <c r="D783" s="169" t="n"/>
      <c r="E783" s="169" t="n"/>
    </row>
    <row r="784">
      <c r="A784" s="169" t="n"/>
      <c r="B784" s="169" t="n"/>
      <c r="C784" s="169" t="n"/>
      <c r="D784" s="169" t="n"/>
      <c r="E784" s="169" t="n"/>
    </row>
    <row r="785">
      <c r="A785" s="169" t="n"/>
      <c r="B785" s="169" t="n"/>
      <c r="C785" s="169" t="n"/>
      <c r="D785" s="169" t="n"/>
      <c r="E785" s="169" t="n"/>
    </row>
    <row r="786">
      <c r="A786" s="169" t="n"/>
      <c r="B786" s="169" t="n"/>
      <c r="C786" s="169" t="n"/>
      <c r="D786" s="169" t="n"/>
      <c r="E786" s="169" t="n"/>
    </row>
    <row r="787">
      <c r="A787" s="169" t="n"/>
      <c r="B787" s="169" t="n"/>
      <c r="C787" s="169" t="n"/>
      <c r="D787" s="169" t="n"/>
      <c r="E787" s="169" t="n"/>
    </row>
    <row r="788">
      <c r="A788" s="169" t="n"/>
      <c r="B788" s="169" t="n"/>
      <c r="C788" s="169" t="n"/>
      <c r="D788" s="169" t="n"/>
      <c r="E788" s="169" t="n"/>
    </row>
    <row r="789">
      <c r="A789" s="169" t="n"/>
      <c r="B789" s="169" t="n"/>
      <c r="C789" s="169" t="n"/>
      <c r="D789" s="169" t="n"/>
      <c r="E789" s="169" t="n"/>
    </row>
    <row r="790">
      <c r="A790" s="169" t="n"/>
      <c r="B790" s="169" t="n"/>
      <c r="C790" s="169" t="n"/>
      <c r="D790" s="169" t="n"/>
      <c r="E790" s="169" t="n"/>
    </row>
    <row r="791">
      <c r="A791" s="169" t="n"/>
      <c r="B791" s="169" t="n"/>
      <c r="C791" s="169" t="n"/>
      <c r="D791" s="169" t="n"/>
      <c r="E791" s="169" t="n"/>
    </row>
    <row r="792">
      <c r="A792" s="169" t="n"/>
      <c r="B792" s="169" t="n"/>
      <c r="C792" s="169" t="n"/>
      <c r="D792" s="169" t="n"/>
      <c r="E792" s="169" t="n"/>
    </row>
    <row r="793">
      <c r="A793" s="169" t="n"/>
      <c r="B793" s="169" t="n"/>
      <c r="C793" s="169" t="n"/>
      <c r="D793" s="169" t="n"/>
      <c r="E793" s="169" t="n"/>
    </row>
    <row r="794">
      <c r="A794" s="169" t="n"/>
      <c r="B794" s="169" t="n"/>
      <c r="C794" s="169" t="n"/>
      <c r="D794" s="169" t="n"/>
      <c r="E794" s="169" t="n"/>
    </row>
    <row r="795">
      <c r="A795" s="169" t="n"/>
      <c r="B795" s="169" t="n"/>
      <c r="C795" s="169" t="n"/>
      <c r="D795" s="169" t="n"/>
      <c r="E795" s="169" t="n"/>
    </row>
    <row r="796">
      <c r="A796" s="169" t="n"/>
      <c r="B796" s="169" t="n"/>
      <c r="C796" s="169" t="n"/>
      <c r="D796" s="169" t="n"/>
      <c r="E796" s="169" t="n"/>
    </row>
    <row r="797">
      <c r="A797" s="169" t="n"/>
      <c r="B797" s="169" t="n"/>
      <c r="C797" s="169" t="n"/>
      <c r="D797" s="169" t="n"/>
      <c r="E797" s="169" t="n"/>
    </row>
    <row r="798">
      <c r="A798" s="169" t="n"/>
      <c r="B798" s="169" t="n"/>
      <c r="C798" s="169" t="n"/>
      <c r="D798" s="169" t="n"/>
      <c r="E798" s="169" t="n"/>
    </row>
    <row r="799">
      <c r="A799" s="169" t="n"/>
      <c r="B799" s="169" t="n"/>
      <c r="C799" s="169" t="n"/>
      <c r="D799" s="169" t="n"/>
      <c r="E799" s="169" t="n"/>
    </row>
    <row r="800">
      <c r="A800" s="169" t="n"/>
      <c r="B800" s="169" t="n"/>
      <c r="C800" s="169" t="n"/>
      <c r="D800" s="169" t="n"/>
      <c r="E800" s="169" t="n"/>
    </row>
    <row r="801">
      <c r="A801" s="169" t="n"/>
      <c r="B801" s="169" t="n"/>
      <c r="C801" s="169" t="n"/>
      <c r="D801" s="169" t="n"/>
      <c r="E801" s="169" t="n"/>
    </row>
    <row r="802">
      <c r="A802" s="169" t="n"/>
      <c r="B802" s="169" t="n"/>
      <c r="C802" s="169" t="n"/>
      <c r="D802" s="169" t="n"/>
      <c r="E802" s="169" t="n"/>
    </row>
    <row r="803">
      <c r="A803" s="169" t="n"/>
      <c r="B803" s="169" t="n"/>
      <c r="C803" s="169" t="n"/>
      <c r="D803" s="169" t="n"/>
      <c r="E803" s="169" t="n"/>
    </row>
    <row r="804">
      <c r="A804" s="169" t="n"/>
      <c r="B804" s="169" t="n"/>
      <c r="C804" s="169" t="n"/>
      <c r="D804" s="169" t="n"/>
      <c r="E804" s="169" t="n"/>
    </row>
    <row r="805">
      <c r="A805" s="169" t="n"/>
      <c r="B805" s="169" t="n"/>
      <c r="C805" s="169" t="n"/>
      <c r="D805" s="169" t="n"/>
      <c r="E805" s="169" t="n"/>
    </row>
    <row r="806">
      <c r="A806" s="169" t="n"/>
      <c r="B806" s="169" t="n"/>
      <c r="C806" s="169" t="n"/>
      <c r="D806" s="169" t="n"/>
      <c r="E806" s="169" t="n"/>
    </row>
    <row r="807">
      <c r="A807" s="169" t="n"/>
      <c r="B807" s="169" t="n"/>
      <c r="C807" s="169" t="n"/>
      <c r="D807" s="169" t="n"/>
      <c r="E807" s="169" t="n"/>
    </row>
    <row r="808">
      <c r="A808" s="169" t="n"/>
      <c r="B808" s="169" t="n"/>
      <c r="C808" s="169" t="n"/>
      <c r="D808" s="169" t="n"/>
      <c r="E808" s="169" t="n"/>
    </row>
    <row r="809">
      <c r="A809" s="169" t="n"/>
      <c r="B809" s="169" t="n"/>
      <c r="C809" s="169" t="n"/>
      <c r="D809" s="169" t="n"/>
      <c r="E809" s="169" t="n"/>
    </row>
    <row r="810">
      <c r="A810" s="169" t="n"/>
      <c r="B810" s="169" t="n"/>
      <c r="C810" s="169" t="n"/>
      <c r="D810" s="169" t="n"/>
      <c r="E810" s="169" t="n"/>
    </row>
    <row r="811">
      <c r="A811" s="169" t="n"/>
      <c r="B811" s="169" t="n"/>
      <c r="C811" s="169" t="n"/>
      <c r="D811" s="169" t="n"/>
      <c r="E811" s="169" t="n"/>
    </row>
    <row r="812">
      <c r="A812" s="169" t="n"/>
      <c r="B812" s="169" t="n"/>
      <c r="C812" s="169" t="n"/>
      <c r="D812" s="169" t="n"/>
      <c r="E812" s="169" t="n"/>
    </row>
    <row r="813">
      <c r="A813" s="169" t="n"/>
      <c r="B813" s="169" t="n"/>
      <c r="C813" s="169" t="n"/>
      <c r="D813" s="169" t="n"/>
      <c r="E813" s="169" t="n"/>
    </row>
    <row r="814">
      <c r="A814" s="169" t="n"/>
      <c r="B814" s="169" t="n"/>
      <c r="C814" s="169" t="n"/>
      <c r="D814" s="169" t="n"/>
      <c r="E814" s="169" t="n"/>
    </row>
    <row r="815">
      <c r="A815" s="169" t="n"/>
      <c r="B815" s="169" t="n"/>
      <c r="C815" s="169" t="n"/>
      <c r="D815" s="169" t="n"/>
      <c r="E815" s="169" t="n"/>
    </row>
    <row r="816">
      <c r="A816" s="169" t="n"/>
      <c r="B816" s="169" t="n"/>
      <c r="C816" s="169" t="n"/>
      <c r="D816" s="169" t="n"/>
      <c r="E816" s="169" t="n"/>
    </row>
    <row r="817">
      <c r="A817" s="169" t="n"/>
      <c r="B817" s="169" t="n"/>
      <c r="C817" s="169" t="n"/>
      <c r="D817" s="169" t="n"/>
      <c r="E817" s="169" t="n"/>
    </row>
    <row r="818">
      <c r="A818" s="169" t="n"/>
      <c r="B818" s="169" t="n"/>
      <c r="C818" s="169" t="n"/>
      <c r="D818" s="169" t="n"/>
      <c r="E818" s="169" t="n"/>
    </row>
    <row r="819">
      <c r="A819" s="169" t="n"/>
      <c r="B819" s="169" t="n"/>
      <c r="C819" s="169" t="n"/>
      <c r="D819" s="169" t="n"/>
      <c r="E819" s="169" t="n"/>
    </row>
    <row r="820">
      <c r="A820" s="169" t="n"/>
      <c r="B820" s="169" t="n"/>
      <c r="C820" s="169" t="n"/>
      <c r="D820" s="169" t="n"/>
      <c r="E820" s="169" t="n"/>
    </row>
    <row r="821">
      <c r="A821" s="169" t="n"/>
      <c r="B821" s="169" t="n"/>
      <c r="C821" s="169" t="n"/>
      <c r="D821" s="169" t="n"/>
      <c r="E821" s="169" t="n"/>
    </row>
    <row r="822">
      <c r="A822" s="169" t="n"/>
      <c r="B822" s="169" t="n"/>
      <c r="C822" s="169" t="n"/>
      <c r="D822" s="169" t="n"/>
      <c r="E822" s="169" t="n"/>
    </row>
    <row r="823">
      <c r="A823" s="169" t="n"/>
      <c r="B823" s="169" t="n"/>
      <c r="C823" s="169" t="n"/>
      <c r="D823" s="169" t="n"/>
      <c r="E823" s="169" t="n"/>
    </row>
    <row r="824">
      <c r="A824" s="169" t="n"/>
      <c r="B824" s="169" t="n"/>
      <c r="C824" s="169" t="n"/>
      <c r="D824" s="169" t="n"/>
      <c r="E824" s="169" t="n"/>
    </row>
    <row r="825">
      <c r="A825" s="169" t="n"/>
      <c r="B825" s="169" t="n"/>
      <c r="C825" s="169" t="n"/>
      <c r="D825" s="169" t="n"/>
      <c r="E825" s="169" t="n"/>
    </row>
    <row r="826">
      <c r="A826" s="169" t="n"/>
      <c r="B826" s="169" t="n"/>
      <c r="C826" s="169" t="n"/>
      <c r="D826" s="169" t="n"/>
      <c r="E826" s="169" t="n"/>
    </row>
    <row r="827">
      <c r="A827" s="169" t="n"/>
      <c r="B827" s="169" t="n"/>
      <c r="C827" s="169" t="n"/>
      <c r="D827" s="169" t="n"/>
      <c r="E827" s="169" t="n"/>
    </row>
    <row r="828">
      <c r="A828" s="169" t="n"/>
      <c r="B828" s="169" t="n"/>
      <c r="C828" s="169" t="n"/>
      <c r="D828" s="169" t="n"/>
      <c r="E828" s="169" t="n"/>
    </row>
    <row r="829">
      <c r="A829" s="169" t="n"/>
      <c r="B829" s="169" t="n"/>
      <c r="C829" s="169" t="n"/>
      <c r="D829" s="169" t="n"/>
      <c r="E829" s="169" t="n"/>
    </row>
    <row r="830">
      <c r="A830" s="169" t="n"/>
      <c r="B830" s="169" t="n"/>
      <c r="C830" s="169" t="n"/>
      <c r="D830" s="169" t="n"/>
      <c r="E830" s="169" t="n"/>
    </row>
    <row r="831">
      <c r="A831" s="169" t="n"/>
      <c r="B831" s="169" t="n"/>
      <c r="C831" s="169" t="n"/>
      <c r="D831" s="169" t="n"/>
      <c r="E831" s="169" t="n"/>
    </row>
    <row r="832">
      <c r="A832" s="169" t="n"/>
      <c r="B832" s="169" t="n"/>
      <c r="C832" s="169" t="n"/>
      <c r="D832" s="169" t="n"/>
      <c r="E832" s="169" t="n"/>
    </row>
    <row r="833">
      <c r="A833" s="169" t="n"/>
      <c r="B833" s="169" t="n"/>
      <c r="C833" s="169" t="n"/>
      <c r="D833" s="169" t="n"/>
      <c r="E833" s="169" t="n"/>
    </row>
    <row r="834">
      <c r="A834" s="169" t="n"/>
      <c r="B834" s="169" t="n"/>
      <c r="C834" s="169" t="n"/>
      <c r="D834" s="169" t="n"/>
      <c r="E834" s="169" t="n"/>
    </row>
    <row r="835">
      <c r="A835" s="169" t="n"/>
      <c r="B835" s="169" t="n"/>
      <c r="C835" s="169" t="n"/>
      <c r="D835" s="169" t="n"/>
      <c r="E835" s="169" t="n"/>
    </row>
    <row r="836">
      <c r="A836" s="169" t="n"/>
      <c r="B836" s="169" t="n"/>
      <c r="C836" s="169" t="n"/>
      <c r="D836" s="169" t="n"/>
      <c r="E836" s="169" t="n"/>
    </row>
    <row r="837">
      <c r="A837" s="169" t="n"/>
      <c r="B837" s="169" t="n"/>
      <c r="C837" s="169" t="n"/>
      <c r="D837" s="169" t="n"/>
      <c r="E837" s="169" t="n"/>
    </row>
    <row r="838">
      <c r="A838" s="169" t="n"/>
      <c r="B838" s="169" t="n"/>
      <c r="C838" s="169" t="n"/>
      <c r="D838" s="169" t="n"/>
      <c r="E838" s="169" t="n"/>
    </row>
    <row r="839">
      <c r="A839" s="169" t="n"/>
      <c r="B839" s="169" t="n"/>
      <c r="C839" s="169" t="n"/>
      <c r="D839" s="169" t="n"/>
      <c r="E839" s="169" t="n"/>
    </row>
    <row r="840">
      <c r="A840" s="169" t="n"/>
      <c r="B840" s="169" t="n"/>
      <c r="C840" s="169" t="n"/>
      <c r="D840" s="169" t="n"/>
      <c r="E840" s="169" t="n"/>
    </row>
    <row r="841">
      <c r="A841" s="169" t="n"/>
      <c r="B841" s="169" t="n"/>
      <c r="C841" s="169" t="n"/>
      <c r="D841" s="169" t="n"/>
      <c r="E841" s="169" t="n"/>
    </row>
    <row r="842">
      <c r="A842" s="169" t="n"/>
      <c r="B842" s="169" t="n"/>
      <c r="C842" s="169" t="n"/>
      <c r="D842" s="169" t="n"/>
      <c r="E842" s="169" t="n"/>
    </row>
    <row r="843">
      <c r="A843" s="169" t="n"/>
      <c r="B843" s="169" t="n"/>
      <c r="C843" s="169" t="n"/>
      <c r="D843" s="169" t="n"/>
      <c r="E843" s="169" t="n"/>
    </row>
    <row r="844">
      <c r="A844" s="169" t="n"/>
      <c r="B844" s="169" t="n"/>
      <c r="C844" s="169" t="n"/>
      <c r="D844" s="169" t="n"/>
      <c r="E844" s="169" t="n"/>
    </row>
    <row r="845">
      <c r="A845" s="169" t="n"/>
      <c r="B845" s="169" t="n"/>
      <c r="C845" s="169" t="n"/>
      <c r="D845" s="169" t="n"/>
      <c r="E845" s="169" t="n"/>
    </row>
    <row r="846">
      <c r="A846" s="169" t="n"/>
      <c r="B846" s="169" t="n"/>
      <c r="C846" s="169" t="n"/>
      <c r="D846" s="169" t="n"/>
      <c r="E846" s="169" t="n"/>
    </row>
    <row r="847">
      <c r="A847" s="169" t="n"/>
      <c r="B847" s="169" t="n"/>
      <c r="C847" s="169" t="n"/>
      <c r="D847" s="169" t="n"/>
      <c r="E847" s="169" t="n"/>
    </row>
    <row r="848">
      <c r="A848" s="169" t="n"/>
      <c r="B848" s="169" t="n"/>
      <c r="C848" s="169" t="n"/>
      <c r="D848" s="169" t="n"/>
      <c r="E848" s="169" t="n"/>
    </row>
    <row r="849">
      <c r="A849" s="169" t="n"/>
      <c r="B849" s="169" t="n"/>
      <c r="C849" s="169" t="n"/>
      <c r="D849" s="169" t="n"/>
      <c r="E849" s="169" t="n"/>
    </row>
    <row r="850">
      <c r="A850" s="169" t="n"/>
      <c r="B850" s="169" t="n"/>
      <c r="C850" s="169" t="n"/>
      <c r="D850" s="169" t="n"/>
      <c r="E850" s="169" t="n"/>
    </row>
    <row r="851">
      <c r="A851" s="169" t="n"/>
      <c r="B851" s="169" t="n"/>
      <c r="C851" s="169" t="n"/>
      <c r="D851" s="169" t="n"/>
      <c r="E851" s="169" t="n"/>
    </row>
    <row r="852">
      <c r="A852" s="169" t="n"/>
      <c r="B852" s="169" t="n"/>
      <c r="C852" s="169" t="n"/>
      <c r="D852" s="169" t="n"/>
      <c r="E852" s="169" t="n"/>
    </row>
    <row r="853">
      <c r="A853" s="169" t="n"/>
      <c r="B853" s="169" t="n"/>
      <c r="C853" s="169" t="n"/>
      <c r="D853" s="169" t="n"/>
      <c r="E853" s="169" t="n"/>
    </row>
    <row r="854">
      <c r="A854" s="169" t="n"/>
      <c r="B854" s="169" t="n"/>
      <c r="C854" s="169" t="n"/>
      <c r="D854" s="169" t="n"/>
      <c r="E854" s="169" t="n"/>
    </row>
    <row r="855">
      <c r="A855" s="169" t="n"/>
      <c r="B855" s="169" t="n"/>
      <c r="C855" s="169" t="n"/>
      <c r="D855" s="169" t="n"/>
      <c r="E855" s="169" t="n"/>
    </row>
    <row r="856">
      <c r="A856" s="169" t="n"/>
      <c r="B856" s="169" t="n"/>
      <c r="C856" s="169" t="n"/>
      <c r="D856" s="169" t="n"/>
      <c r="E856" s="169" t="n"/>
    </row>
    <row r="857">
      <c r="A857" s="169" t="n"/>
      <c r="B857" s="169" t="n"/>
      <c r="C857" s="169" t="n"/>
      <c r="D857" s="169" t="n"/>
      <c r="E857" s="169" t="n"/>
    </row>
    <row r="858">
      <c r="A858" s="169" t="n"/>
      <c r="B858" s="169" t="n"/>
      <c r="C858" s="169" t="n"/>
      <c r="D858" s="169" t="n"/>
      <c r="E858" s="169" t="n"/>
    </row>
    <row r="859">
      <c r="A859" s="169" t="n"/>
      <c r="B859" s="169" t="n"/>
      <c r="C859" s="169" t="n"/>
      <c r="D859" s="169" t="n"/>
      <c r="E859" s="169" t="n"/>
    </row>
    <row r="860">
      <c r="A860" s="169" t="n"/>
      <c r="B860" s="169" t="n"/>
      <c r="C860" s="169" t="n"/>
      <c r="D860" s="169" t="n"/>
      <c r="E860" s="169" t="n"/>
    </row>
    <row r="861">
      <c r="A861" s="169" t="n"/>
      <c r="B861" s="169" t="n"/>
      <c r="C861" s="169" t="n"/>
      <c r="D861" s="169" t="n"/>
      <c r="E861" s="169" t="n"/>
    </row>
    <row r="862">
      <c r="A862" s="169" t="n"/>
      <c r="B862" s="169" t="n"/>
      <c r="C862" s="169" t="n"/>
      <c r="D862" s="169" t="n"/>
      <c r="E862" s="169" t="n"/>
    </row>
    <row r="863">
      <c r="A863" s="169" t="n"/>
      <c r="B863" s="169" t="n"/>
      <c r="C863" s="169" t="n"/>
      <c r="D863" s="169" t="n"/>
      <c r="E863" s="169" t="n"/>
    </row>
    <row r="864">
      <c r="A864" s="169" t="n"/>
      <c r="B864" s="169" t="n"/>
      <c r="C864" s="169" t="n"/>
      <c r="D864" s="169" t="n"/>
      <c r="E864" s="169" t="n"/>
    </row>
    <row r="865">
      <c r="A865" s="169" t="n"/>
      <c r="B865" s="169" t="n"/>
      <c r="C865" s="169" t="n"/>
      <c r="D865" s="169" t="n"/>
      <c r="E865" s="169" t="n"/>
    </row>
    <row r="866">
      <c r="A866" s="169" t="n"/>
      <c r="B866" s="169" t="n"/>
      <c r="C866" s="169" t="n"/>
      <c r="D866" s="169" t="n"/>
      <c r="E866" s="169" t="n"/>
    </row>
    <row r="867">
      <c r="A867" s="169" t="n"/>
      <c r="B867" s="169" t="n"/>
      <c r="C867" s="169" t="n"/>
      <c r="D867" s="169" t="n"/>
      <c r="E867" s="169" t="n"/>
    </row>
    <row r="868">
      <c r="A868" s="169" t="n"/>
      <c r="B868" s="169" t="n"/>
      <c r="C868" s="169" t="n"/>
      <c r="D868" s="169" t="n"/>
      <c r="E868" s="169" t="n"/>
    </row>
    <row r="869">
      <c r="A869" s="169" t="n"/>
      <c r="B869" s="169" t="n"/>
      <c r="C869" s="169" t="n"/>
      <c r="D869" s="169" t="n"/>
      <c r="E869" s="169" t="n"/>
    </row>
    <row r="870">
      <c r="A870" s="169" t="n"/>
      <c r="B870" s="169" t="n"/>
      <c r="C870" s="169" t="n"/>
      <c r="D870" s="169" t="n"/>
      <c r="E870" s="169" t="n"/>
    </row>
    <row r="871">
      <c r="A871" s="169" t="n"/>
      <c r="B871" s="169" t="n"/>
      <c r="C871" s="169" t="n"/>
      <c r="D871" s="169" t="n"/>
      <c r="E871" s="169" t="n"/>
    </row>
    <row r="872">
      <c r="A872" s="169" t="n"/>
      <c r="B872" s="169" t="n"/>
      <c r="C872" s="169" t="n"/>
      <c r="D872" s="169" t="n"/>
      <c r="E872" s="169" t="n"/>
    </row>
    <row r="873">
      <c r="A873" s="169" t="n"/>
      <c r="B873" s="169" t="n"/>
      <c r="C873" s="169" t="n"/>
      <c r="D873" s="169" t="n"/>
      <c r="E873" s="169" t="n"/>
    </row>
    <row r="874">
      <c r="A874" s="169" t="n"/>
      <c r="B874" s="169" t="n"/>
      <c r="C874" s="169" t="n"/>
      <c r="D874" s="169" t="n"/>
      <c r="E874" s="169" t="n"/>
    </row>
    <row r="875">
      <c r="A875" s="169" t="n"/>
      <c r="B875" s="169" t="n"/>
      <c r="C875" s="169" t="n"/>
      <c r="D875" s="169" t="n"/>
      <c r="E875" s="169" t="n"/>
    </row>
    <row r="876">
      <c r="A876" s="169" t="n"/>
      <c r="B876" s="169" t="n"/>
      <c r="C876" s="169" t="n"/>
      <c r="D876" s="169" t="n"/>
      <c r="E876" s="169" t="n"/>
    </row>
    <row r="877">
      <c r="A877" s="169" t="n"/>
      <c r="B877" s="169" t="n"/>
      <c r="C877" s="169" t="n"/>
      <c r="D877" s="169" t="n"/>
      <c r="E877" s="169" t="n"/>
    </row>
    <row r="878">
      <c r="A878" s="169" t="n"/>
      <c r="B878" s="169" t="n"/>
      <c r="C878" s="169" t="n"/>
      <c r="D878" s="169" t="n"/>
      <c r="E878" s="169" t="n"/>
    </row>
    <row r="879">
      <c r="A879" s="169" t="n"/>
      <c r="B879" s="169" t="n"/>
      <c r="C879" s="169" t="n"/>
      <c r="D879" s="169" t="n"/>
      <c r="E879" s="169" t="n"/>
    </row>
    <row r="880">
      <c r="A880" s="169" t="n"/>
      <c r="B880" s="169" t="n"/>
      <c r="C880" s="169" t="n"/>
      <c r="D880" s="169" t="n"/>
      <c r="E880" s="169" t="n"/>
    </row>
    <row r="881">
      <c r="A881" s="169" t="n"/>
      <c r="B881" s="169" t="n"/>
      <c r="C881" s="169" t="n"/>
      <c r="D881" s="169" t="n"/>
      <c r="E881" s="169" t="n"/>
    </row>
    <row r="882">
      <c r="A882" s="169" t="n"/>
      <c r="B882" s="169" t="n"/>
      <c r="C882" s="169" t="n"/>
      <c r="D882" s="169" t="n"/>
      <c r="E882" s="169" t="n"/>
    </row>
    <row r="883">
      <c r="A883" s="169" t="n"/>
      <c r="B883" s="169" t="n"/>
      <c r="C883" s="169" t="n"/>
      <c r="D883" s="169" t="n"/>
      <c r="E883" s="169" t="n"/>
    </row>
    <row r="884">
      <c r="A884" s="169" t="n"/>
      <c r="B884" s="169" t="n"/>
      <c r="C884" s="169" t="n"/>
      <c r="D884" s="169" t="n"/>
      <c r="E884" s="169" t="n"/>
    </row>
    <row r="885">
      <c r="A885" s="169" t="n"/>
      <c r="B885" s="169" t="n"/>
      <c r="C885" s="169" t="n"/>
      <c r="D885" s="169" t="n"/>
      <c r="E885" s="169" t="n"/>
    </row>
    <row r="886">
      <c r="A886" s="169" t="n"/>
      <c r="B886" s="169" t="n"/>
      <c r="C886" s="169" t="n"/>
      <c r="D886" s="169" t="n"/>
      <c r="E886" s="169" t="n"/>
    </row>
    <row r="887">
      <c r="A887" s="169" t="n"/>
      <c r="B887" s="169" t="n"/>
      <c r="C887" s="169" t="n"/>
      <c r="D887" s="169" t="n"/>
      <c r="E887" s="169" t="n"/>
    </row>
    <row r="888">
      <c r="A888" s="169" t="n"/>
      <c r="B888" s="169" t="n"/>
      <c r="C888" s="169" t="n"/>
      <c r="D888" s="169" t="n"/>
      <c r="E888" s="169" t="n"/>
    </row>
    <row r="889">
      <c r="A889" s="169" t="n"/>
      <c r="B889" s="169" t="n"/>
      <c r="C889" s="169" t="n"/>
      <c r="D889" s="169" t="n"/>
      <c r="E889" s="169" t="n"/>
    </row>
    <row r="890">
      <c r="A890" s="169" t="n"/>
      <c r="B890" s="169" t="n"/>
      <c r="C890" s="169" t="n"/>
      <c r="D890" s="169" t="n"/>
      <c r="E890" s="169" t="n"/>
    </row>
    <row r="891">
      <c r="A891" s="169" t="n"/>
      <c r="B891" s="169" t="n"/>
      <c r="C891" s="169" t="n"/>
      <c r="D891" s="169" t="n"/>
      <c r="E891" s="169" t="n"/>
    </row>
    <row r="892">
      <c r="A892" s="169" t="n"/>
      <c r="B892" s="169" t="n"/>
      <c r="C892" s="169" t="n"/>
      <c r="D892" s="169" t="n"/>
      <c r="E892" s="169" t="n"/>
    </row>
    <row r="893">
      <c r="A893" s="169" t="n"/>
      <c r="B893" s="169" t="n"/>
      <c r="C893" s="169" t="n"/>
      <c r="D893" s="169" t="n"/>
      <c r="E893" s="169" t="n"/>
    </row>
    <row r="894">
      <c r="A894" s="169" t="n"/>
      <c r="B894" s="169" t="n"/>
      <c r="C894" s="169" t="n"/>
      <c r="D894" s="169" t="n"/>
      <c r="E894" s="169" t="n"/>
    </row>
    <row r="895">
      <c r="A895" s="169" t="n"/>
      <c r="B895" s="169" t="n"/>
      <c r="C895" s="169" t="n"/>
      <c r="D895" s="169" t="n"/>
      <c r="E895" s="169" t="n"/>
    </row>
    <row r="896">
      <c r="A896" s="169" t="n"/>
      <c r="B896" s="169" t="n"/>
      <c r="C896" s="169" t="n"/>
      <c r="D896" s="169" t="n"/>
      <c r="E896" s="169" t="n"/>
    </row>
    <row r="897">
      <c r="A897" s="169" t="n"/>
      <c r="B897" s="169" t="n"/>
      <c r="C897" s="169" t="n"/>
      <c r="D897" s="169" t="n"/>
      <c r="E897" s="169" t="n"/>
    </row>
    <row r="898">
      <c r="A898" s="169" t="n"/>
      <c r="B898" s="169" t="n"/>
      <c r="C898" s="169" t="n"/>
      <c r="D898" s="169" t="n"/>
      <c r="E898" s="169" t="n"/>
    </row>
    <row r="899">
      <c r="A899" s="169" t="n"/>
      <c r="B899" s="169" t="n"/>
      <c r="C899" s="169" t="n"/>
      <c r="D899" s="169" t="n"/>
      <c r="E899" s="169" t="n"/>
    </row>
    <row r="900">
      <c r="A900" s="169" t="n"/>
      <c r="B900" s="169" t="n"/>
      <c r="C900" s="169" t="n"/>
      <c r="D900" s="169" t="n"/>
      <c r="E900" s="169" t="n"/>
    </row>
    <row r="901">
      <c r="A901" s="169" t="n"/>
      <c r="B901" s="169" t="n"/>
      <c r="C901" s="169" t="n"/>
      <c r="D901" s="169" t="n"/>
      <c r="E901" s="169" t="n"/>
    </row>
    <row r="902">
      <c r="A902" s="169" t="n"/>
      <c r="B902" s="169" t="n"/>
      <c r="C902" s="169" t="n"/>
      <c r="D902" s="169" t="n"/>
      <c r="E902" s="169" t="n"/>
    </row>
    <row r="903">
      <c r="A903" s="169" t="n"/>
      <c r="B903" s="169" t="n"/>
      <c r="C903" s="169" t="n"/>
      <c r="D903" s="169" t="n"/>
      <c r="E903" s="169" t="n"/>
    </row>
    <row r="904">
      <c r="A904" s="169" t="n"/>
      <c r="B904" s="169" t="n"/>
      <c r="C904" s="169" t="n"/>
      <c r="D904" s="169" t="n"/>
      <c r="E904" s="169" t="n"/>
    </row>
    <row r="905">
      <c r="A905" s="169" t="n"/>
      <c r="B905" s="169" t="n"/>
      <c r="C905" s="169" t="n"/>
      <c r="D905" s="169" t="n"/>
      <c r="E905" s="169" t="n"/>
    </row>
    <row r="906">
      <c r="A906" s="169" t="n"/>
      <c r="B906" s="169" t="n"/>
      <c r="C906" s="169" t="n"/>
      <c r="D906" s="169" t="n"/>
      <c r="E906" s="169" t="n"/>
    </row>
    <row r="907">
      <c r="A907" s="169" t="n"/>
      <c r="B907" s="169" t="n"/>
      <c r="C907" s="169" t="n"/>
      <c r="D907" s="169" t="n"/>
      <c r="E907" s="169" t="n"/>
    </row>
    <row r="908">
      <c r="A908" s="169" t="n"/>
      <c r="B908" s="169" t="n"/>
      <c r="C908" s="169" t="n"/>
      <c r="D908" s="169" t="n"/>
      <c r="E908" s="169" t="n"/>
    </row>
    <row r="909">
      <c r="A909" s="169" t="n"/>
      <c r="B909" s="169" t="n"/>
      <c r="C909" s="169" t="n"/>
      <c r="D909" s="169" t="n"/>
      <c r="E909" s="169" t="n"/>
    </row>
    <row r="910">
      <c r="A910" s="169" t="n"/>
      <c r="B910" s="169" t="n"/>
      <c r="C910" s="169" t="n"/>
      <c r="D910" s="169" t="n"/>
      <c r="E910" s="169" t="n"/>
    </row>
    <row r="911">
      <c r="A911" s="169" t="n"/>
      <c r="B911" s="169" t="n"/>
      <c r="C911" s="169" t="n"/>
      <c r="D911" s="169" t="n"/>
      <c r="E911" s="169" t="n"/>
    </row>
    <row r="912">
      <c r="A912" s="169" t="n"/>
      <c r="B912" s="169" t="n"/>
      <c r="C912" s="169" t="n"/>
      <c r="D912" s="169" t="n"/>
      <c r="E912" s="169" t="n"/>
    </row>
    <row r="913">
      <c r="A913" s="169" t="n"/>
      <c r="B913" s="169" t="n"/>
      <c r="C913" s="169" t="n"/>
      <c r="D913" s="169" t="n"/>
      <c r="E913" s="169" t="n"/>
    </row>
    <row r="914">
      <c r="A914" s="169" t="n"/>
      <c r="B914" s="169" t="n"/>
      <c r="C914" s="169" t="n"/>
      <c r="D914" s="169" t="n"/>
      <c r="E914" s="169" t="n"/>
    </row>
    <row r="915">
      <c r="A915" s="169" t="n"/>
      <c r="B915" s="169" t="n"/>
      <c r="C915" s="169" t="n"/>
      <c r="D915" s="169" t="n"/>
      <c r="E915" s="169" t="n"/>
    </row>
    <row r="916">
      <c r="A916" s="169" t="n"/>
      <c r="B916" s="169" t="n"/>
      <c r="C916" s="169" t="n"/>
      <c r="D916" s="169" t="n"/>
      <c r="E916" s="169" t="n"/>
    </row>
    <row r="917">
      <c r="A917" s="169" t="n"/>
      <c r="B917" s="169" t="n"/>
      <c r="C917" s="169" t="n"/>
      <c r="D917" s="169" t="n"/>
      <c r="E917" s="169" t="n"/>
    </row>
    <row r="918">
      <c r="A918" s="169" t="n"/>
      <c r="B918" s="169" t="n"/>
      <c r="C918" s="169" t="n"/>
      <c r="D918" s="169" t="n"/>
      <c r="E918" s="169" t="n"/>
    </row>
    <row r="919">
      <c r="A919" s="169" t="n"/>
      <c r="B919" s="169" t="n"/>
      <c r="C919" s="169" t="n"/>
      <c r="D919" s="169" t="n"/>
      <c r="E919" s="169" t="n"/>
    </row>
    <row r="920">
      <c r="A920" s="169" t="n"/>
      <c r="B920" s="169" t="n"/>
      <c r="C920" s="169" t="n"/>
      <c r="D920" s="169" t="n"/>
      <c r="E920" s="169" t="n"/>
    </row>
    <row r="921">
      <c r="A921" s="169" t="n"/>
      <c r="B921" s="169" t="n"/>
      <c r="C921" s="169" t="n"/>
      <c r="D921" s="169" t="n"/>
      <c r="E921" s="169" t="n"/>
    </row>
    <row r="922">
      <c r="A922" s="169" t="n"/>
      <c r="B922" s="169" t="n"/>
      <c r="C922" s="169" t="n"/>
      <c r="D922" s="169" t="n"/>
      <c r="E922" s="169" t="n"/>
    </row>
    <row r="923">
      <c r="A923" s="169" t="n"/>
      <c r="B923" s="169" t="n"/>
      <c r="C923" s="169" t="n"/>
      <c r="D923" s="169" t="n"/>
      <c r="E923" s="169" t="n"/>
    </row>
    <row r="924">
      <c r="A924" s="169" t="n"/>
      <c r="B924" s="169" t="n"/>
      <c r="C924" s="169" t="n"/>
      <c r="D924" s="169" t="n"/>
      <c r="E924" s="169" t="n"/>
    </row>
    <row r="925">
      <c r="A925" s="169" t="n"/>
      <c r="B925" s="169" t="n"/>
      <c r="C925" s="169" t="n"/>
      <c r="D925" s="169" t="n"/>
      <c r="E925" s="169" t="n"/>
    </row>
    <row r="926">
      <c r="A926" s="169" t="n"/>
      <c r="B926" s="169" t="n"/>
      <c r="C926" s="169" t="n"/>
      <c r="D926" s="169" t="n"/>
      <c r="E926" s="169" t="n"/>
    </row>
    <row r="927">
      <c r="A927" s="169" t="n"/>
      <c r="B927" s="169" t="n"/>
      <c r="C927" s="169" t="n"/>
      <c r="D927" s="169" t="n"/>
      <c r="E927" s="169" t="n"/>
    </row>
    <row r="928">
      <c r="A928" s="169" t="n"/>
      <c r="B928" s="169" t="n"/>
      <c r="C928" s="169" t="n"/>
      <c r="D928" s="169" t="n"/>
      <c r="E928" s="169" t="n"/>
    </row>
    <row r="929">
      <c r="A929" s="169" t="n"/>
      <c r="B929" s="169" t="n"/>
      <c r="C929" s="169" t="n"/>
      <c r="D929" s="169" t="n"/>
      <c r="E929" s="169" t="n"/>
    </row>
    <row r="930">
      <c r="A930" s="169" t="n"/>
      <c r="B930" s="169" t="n"/>
      <c r="C930" s="169" t="n"/>
      <c r="D930" s="169" t="n"/>
      <c r="E930" s="169" t="n"/>
    </row>
    <row r="931">
      <c r="A931" s="169" t="n"/>
      <c r="B931" s="169" t="n"/>
      <c r="C931" s="169" t="n"/>
      <c r="D931" s="169" t="n"/>
      <c r="E931" s="169" t="n"/>
    </row>
    <row r="932">
      <c r="A932" s="169" t="n"/>
      <c r="B932" s="169" t="n"/>
      <c r="C932" s="169" t="n"/>
      <c r="D932" s="169" t="n"/>
      <c r="E932" s="169" t="n"/>
    </row>
    <row r="933">
      <c r="A933" s="169" t="n"/>
      <c r="B933" s="169" t="n"/>
      <c r="C933" s="169" t="n"/>
      <c r="D933" s="169" t="n"/>
      <c r="E933" s="169" t="n"/>
    </row>
    <row r="934">
      <c r="A934" s="169" t="n"/>
      <c r="B934" s="169" t="n"/>
      <c r="C934" s="169" t="n"/>
      <c r="D934" s="169" t="n"/>
      <c r="E934" s="169" t="n"/>
    </row>
    <row r="935">
      <c r="A935" s="169" t="n"/>
      <c r="B935" s="169" t="n"/>
      <c r="C935" s="169" t="n"/>
      <c r="D935" s="169" t="n"/>
      <c r="E935" s="169" t="n"/>
    </row>
    <row r="936">
      <c r="A936" s="169" t="n"/>
      <c r="B936" s="169" t="n"/>
      <c r="C936" s="169" t="n"/>
      <c r="D936" s="169" t="n"/>
      <c r="E936" s="169" t="n"/>
    </row>
    <row r="937">
      <c r="A937" s="169" t="n"/>
      <c r="B937" s="169" t="n"/>
      <c r="C937" s="169" t="n"/>
      <c r="D937" s="169" t="n"/>
      <c r="E937" s="169" t="n"/>
    </row>
    <row r="938">
      <c r="A938" s="169" t="n"/>
      <c r="B938" s="169" t="n"/>
      <c r="C938" s="169" t="n"/>
      <c r="D938" s="169" t="n"/>
      <c r="E938" s="169" t="n"/>
    </row>
    <row r="939">
      <c r="A939" s="169" t="n"/>
      <c r="B939" s="169" t="n"/>
      <c r="C939" s="169" t="n"/>
      <c r="D939" s="169" t="n"/>
      <c r="E939" s="169" t="n"/>
    </row>
    <row r="940">
      <c r="A940" s="169" t="n"/>
      <c r="B940" s="169" t="n"/>
      <c r="C940" s="169" t="n"/>
      <c r="D940" s="169" t="n"/>
      <c r="E940" s="169" t="n"/>
    </row>
    <row r="941">
      <c r="A941" s="169" t="n"/>
      <c r="B941" s="169" t="n"/>
      <c r="C941" s="169" t="n"/>
      <c r="D941" s="169" t="n"/>
      <c r="E941" s="169" t="n"/>
    </row>
    <row r="942">
      <c r="A942" s="169" t="n"/>
      <c r="B942" s="169" t="n"/>
      <c r="C942" s="169" t="n"/>
      <c r="D942" s="169" t="n"/>
      <c r="E942" s="169" t="n"/>
    </row>
    <row r="943">
      <c r="A943" s="169" t="n"/>
      <c r="B943" s="169" t="n"/>
      <c r="C943" s="169" t="n"/>
      <c r="D943" s="169" t="n"/>
      <c r="E943" s="169" t="n"/>
    </row>
    <row r="944">
      <c r="A944" s="169" t="n"/>
      <c r="B944" s="169" t="n"/>
      <c r="C944" s="169" t="n"/>
      <c r="D944" s="169" t="n"/>
      <c r="E944" s="169" t="n"/>
    </row>
    <row r="945">
      <c r="A945" s="169" t="n"/>
      <c r="B945" s="169" t="n"/>
      <c r="C945" s="169" t="n"/>
      <c r="D945" s="169" t="n"/>
      <c r="E945" s="169" t="n"/>
    </row>
    <row r="946">
      <c r="A946" s="169" t="n"/>
      <c r="B946" s="169" t="n"/>
      <c r="C946" s="169" t="n"/>
      <c r="D946" s="169" t="n"/>
      <c r="E946" s="169" t="n"/>
    </row>
    <row r="947">
      <c r="A947" s="169" t="n"/>
      <c r="B947" s="169" t="n"/>
      <c r="C947" s="169" t="n"/>
      <c r="D947" s="169" t="n"/>
      <c r="E947" s="169" t="n"/>
    </row>
    <row r="948">
      <c r="A948" s="169" t="n"/>
      <c r="B948" s="169" t="n"/>
      <c r="C948" s="169" t="n"/>
      <c r="D948" s="169" t="n"/>
      <c r="E948" s="169" t="n"/>
    </row>
    <row r="949">
      <c r="A949" s="169" t="n"/>
      <c r="B949" s="169" t="n"/>
      <c r="C949" s="169" t="n"/>
      <c r="D949" s="169" t="n"/>
      <c r="E949" s="169" t="n"/>
    </row>
    <row r="950">
      <c r="A950" s="169" t="n"/>
      <c r="B950" s="169" t="n"/>
      <c r="C950" s="169" t="n"/>
      <c r="D950" s="169" t="n"/>
      <c r="E950" s="169" t="n"/>
    </row>
    <row r="951">
      <c r="A951" s="169" t="n"/>
      <c r="B951" s="169" t="n"/>
      <c r="C951" s="169" t="n"/>
      <c r="D951" s="169" t="n"/>
      <c r="E951" s="169" t="n"/>
    </row>
    <row r="952">
      <c r="A952" s="169" t="n"/>
      <c r="B952" s="169" t="n"/>
      <c r="C952" s="169" t="n"/>
      <c r="D952" s="169" t="n"/>
      <c r="E952" s="169" t="n"/>
    </row>
    <row r="953">
      <c r="A953" s="169" t="n"/>
      <c r="B953" s="169" t="n"/>
      <c r="C953" s="169" t="n"/>
      <c r="D953" s="169" t="n"/>
      <c r="E953" s="169" t="n"/>
    </row>
    <row r="954">
      <c r="A954" s="169" t="n"/>
      <c r="B954" s="169" t="n"/>
      <c r="C954" s="169" t="n"/>
      <c r="D954" s="169" t="n"/>
      <c r="E954" s="169" t="n"/>
    </row>
    <row r="955">
      <c r="A955" s="169" t="n"/>
      <c r="B955" s="169" t="n"/>
      <c r="C955" s="169" t="n"/>
      <c r="D955" s="169" t="n"/>
      <c r="E955" s="169" t="n"/>
    </row>
    <row r="956">
      <c r="A956" s="169" t="n"/>
      <c r="B956" s="169" t="n"/>
      <c r="C956" s="169" t="n"/>
      <c r="D956" s="169" t="n"/>
      <c r="E956" s="169" t="n"/>
    </row>
    <row r="957">
      <c r="A957" s="169" t="n"/>
      <c r="B957" s="169" t="n"/>
      <c r="C957" s="169" t="n"/>
      <c r="D957" s="169" t="n"/>
      <c r="E957" s="169" t="n"/>
    </row>
    <row r="958">
      <c r="A958" s="169" t="n"/>
      <c r="B958" s="169" t="n"/>
      <c r="C958" s="169" t="n"/>
      <c r="D958" s="169" t="n"/>
      <c r="E958" s="169" t="n"/>
    </row>
    <row r="959">
      <c r="A959" s="169" t="n"/>
      <c r="B959" s="169" t="n"/>
      <c r="C959" s="169" t="n"/>
      <c r="D959" s="169" t="n"/>
      <c r="E959" s="169" t="n"/>
    </row>
    <row r="960">
      <c r="A960" s="169" t="n"/>
      <c r="B960" s="169" t="n"/>
      <c r="C960" s="169" t="n"/>
      <c r="D960" s="169" t="n"/>
      <c r="E960" s="169" t="n"/>
    </row>
    <row r="961">
      <c r="A961" s="169" t="n"/>
      <c r="B961" s="169" t="n"/>
      <c r="C961" s="169" t="n"/>
      <c r="D961" s="169" t="n"/>
      <c r="E961" s="169" t="n"/>
    </row>
    <row r="962">
      <c r="A962" s="169" t="n"/>
      <c r="B962" s="169" t="n"/>
      <c r="C962" s="169" t="n"/>
      <c r="D962" s="169" t="n"/>
      <c r="E962" s="169" t="n"/>
    </row>
    <row r="963">
      <c r="A963" s="169" t="n"/>
      <c r="B963" s="169" t="n"/>
      <c r="C963" s="169" t="n"/>
      <c r="D963" s="169" t="n"/>
      <c r="E963" s="169" t="n"/>
    </row>
    <row r="964">
      <c r="A964" s="169" t="n"/>
      <c r="B964" s="169" t="n"/>
      <c r="C964" s="169" t="n"/>
      <c r="D964" s="169" t="n"/>
      <c r="E964" s="169" t="n"/>
    </row>
    <row r="965">
      <c r="A965" s="169" t="n"/>
      <c r="B965" s="169" t="n"/>
      <c r="C965" s="169" t="n"/>
      <c r="D965" s="169" t="n"/>
      <c r="E965" s="169" t="n"/>
    </row>
    <row r="966">
      <c r="A966" s="169" t="n"/>
      <c r="B966" s="169" t="n"/>
      <c r="C966" s="169" t="n"/>
      <c r="D966" s="169" t="n"/>
      <c r="E966" s="169" t="n"/>
    </row>
    <row r="967">
      <c r="A967" s="169" t="n"/>
      <c r="B967" s="169" t="n"/>
      <c r="C967" s="169" t="n"/>
      <c r="D967" s="169" t="n"/>
      <c r="E967" s="169" t="n"/>
    </row>
    <row r="968">
      <c r="A968" s="169" t="n"/>
      <c r="B968" s="169" t="n"/>
      <c r="C968" s="169" t="n"/>
      <c r="D968" s="169" t="n"/>
      <c r="E968" s="169" t="n"/>
    </row>
    <row r="969">
      <c r="A969" s="169" t="n"/>
      <c r="B969" s="169" t="n"/>
      <c r="C969" s="169" t="n"/>
      <c r="D969" s="169" t="n"/>
      <c r="E969" s="169" t="n"/>
    </row>
    <row r="970">
      <c r="A970" s="169" t="n"/>
      <c r="B970" s="169" t="n"/>
      <c r="C970" s="169" t="n"/>
      <c r="D970" s="169" t="n"/>
      <c r="E970" s="169" t="n"/>
    </row>
    <row r="971">
      <c r="A971" s="169" t="n"/>
      <c r="B971" s="169" t="n"/>
      <c r="C971" s="169" t="n"/>
      <c r="D971" s="169" t="n"/>
      <c r="E971" s="169" t="n"/>
    </row>
    <row r="972">
      <c r="A972" s="169" t="n"/>
      <c r="B972" s="169" t="n"/>
      <c r="C972" s="169" t="n"/>
      <c r="D972" s="169" t="n"/>
      <c r="E972" s="169" t="n"/>
    </row>
    <row r="973">
      <c r="A973" s="169" t="n"/>
      <c r="B973" s="169" t="n"/>
      <c r="C973" s="169" t="n"/>
      <c r="D973" s="169" t="n"/>
      <c r="E973" s="169" t="n"/>
    </row>
    <row r="974">
      <c r="A974" s="169" t="n"/>
      <c r="B974" s="169" t="n"/>
      <c r="C974" s="169" t="n"/>
      <c r="D974" s="169" t="n"/>
      <c r="E974" s="169" t="n"/>
    </row>
    <row r="975">
      <c r="A975" s="169" t="n"/>
      <c r="B975" s="169" t="n"/>
      <c r="C975" s="169" t="n"/>
      <c r="D975" s="169" t="n"/>
      <c r="E975" s="169" t="n"/>
    </row>
    <row r="976">
      <c r="A976" s="169" t="n"/>
      <c r="B976" s="169" t="n"/>
      <c r="C976" s="169" t="n"/>
      <c r="D976" s="169" t="n"/>
      <c r="E976" s="169" t="n"/>
    </row>
    <row r="977">
      <c r="A977" s="169" t="n"/>
      <c r="B977" s="169" t="n"/>
      <c r="C977" s="169" t="n"/>
      <c r="D977" s="169" t="n"/>
      <c r="E977" s="169" t="n"/>
    </row>
    <row r="978">
      <c r="A978" s="169" t="n"/>
      <c r="B978" s="169" t="n"/>
      <c r="C978" s="169" t="n"/>
      <c r="D978" s="169" t="n"/>
      <c r="E978" s="169" t="n"/>
    </row>
    <row r="979">
      <c r="A979" s="169" t="n"/>
      <c r="B979" s="169" t="n"/>
      <c r="C979" s="169" t="n"/>
      <c r="D979" s="169" t="n"/>
      <c r="E979" s="169" t="n"/>
    </row>
    <row r="980">
      <c r="A980" s="169" t="n"/>
      <c r="B980" s="169" t="n"/>
      <c r="C980" s="169" t="n"/>
      <c r="D980" s="169" t="n"/>
      <c r="E980" s="169" t="n"/>
    </row>
    <row r="981">
      <c r="A981" s="169" t="n"/>
      <c r="B981" s="169" t="n"/>
      <c r="C981" s="169" t="n"/>
      <c r="D981" s="169" t="n"/>
      <c r="E981" s="169" t="n"/>
    </row>
    <row r="982">
      <c r="A982" s="169" t="n"/>
      <c r="B982" s="169" t="n"/>
      <c r="C982" s="169" t="n"/>
      <c r="D982" s="169" t="n"/>
      <c r="E982" s="169" t="n"/>
    </row>
    <row r="983">
      <c r="A983" s="169" t="n"/>
      <c r="B983" s="169" t="n"/>
      <c r="C983" s="169" t="n"/>
      <c r="D983" s="169" t="n"/>
      <c r="E983" s="169" t="n"/>
    </row>
    <row r="984">
      <c r="A984" s="169" t="n"/>
      <c r="B984" s="169" t="n"/>
      <c r="C984" s="169" t="n"/>
      <c r="D984" s="169" t="n"/>
      <c r="E984" s="169" t="n"/>
    </row>
    <row r="985">
      <c r="A985" s="169" t="n"/>
      <c r="B985" s="169" t="n"/>
      <c r="C985" s="169" t="n"/>
      <c r="D985" s="169" t="n"/>
      <c r="E985" s="169" t="n"/>
    </row>
    <row r="986">
      <c r="A986" s="169" t="n"/>
      <c r="B986" s="169" t="n"/>
      <c r="C986" s="169" t="n"/>
      <c r="D986" s="169" t="n"/>
      <c r="E986" s="169" t="n"/>
    </row>
    <row r="987">
      <c r="A987" s="169" t="n"/>
      <c r="B987" s="169" t="n"/>
      <c r="C987" s="169" t="n"/>
      <c r="D987" s="169" t="n"/>
      <c r="E987" s="169" t="n"/>
    </row>
    <row r="988">
      <c r="A988" s="169" t="n"/>
      <c r="B988" s="169" t="n"/>
      <c r="C988" s="169" t="n"/>
      <c r="D988" s="169" t="n"/>
      <c r="E988" s="169" t="n"/>
    </row>
    <row r="989">
      <c r="A989" s="169" t="n"/>
      <c r="B989" s="169" t="n"/>
      <c r="C989" s="169" t="n"/>
      <c r="D989" s="169" t="n"/>
      <c r="E989" s="169" t="n"/>
    </row>
    <row r="990">
      <c r="A990" s="169" t="n"/>
      <c r="B990" s="169" t="n"/>
      <c r="C990" s="169" t="n"/>
      <c r="D990" s="169" t="n"/>
      <c r="E990" s="169" t="n"/>
    </row>
    <row r="991">
      <c r="A991" s="169" t="n"/>
      <c r="B991" s="169" t="n"/>
      <c r="C991" s="169" t="n"/>
      <c r="D991" s="169" t="n"/>
      <c r="E991" s="169" t="n"/>
    </row>
    <row r="992">
      <c r="A992" s="169" t="n"/>
      <c r="B992" s="169" t="n"/>
      <c r="C992" s="169" t="n"/>
      <c r="D992" s="169" t="n"/>
      <c r="E992" s="169" t="n"/>
    </row>
    <row r="993">
      <c r="A993" s="169" t="n"/>
      <c r="B993" s="169" t="n"/>
      <c r="C993" s="169" t="n"/>
      <c r="D993" s="169" t="n"/>
      <c r="E993" s="169" t="n"/>
    </row>
    <row r="994">
      <c r="A994" s="169" t="n"/>
      <c r="B994" s="169" t="n"/>
      <c r="C994" s="169" t="n"/>
      <c r="D994" s="169" t="n"/>
      <c r="E994" s="169" t="n"/>
    </row>
    <row r="995">
      <c r="A995" s="169" t="n"/>
      <c r="B995" s="169" t="n"/>
      <c r="C995" s="169" t="n"/>
      <c r="D995" s="169" t="n"/>
      <c r="E995" s="169" t="n"/>
    </row>
    <row r="996">
      <c r="A996" s="169" t="n"/>
      <c r="B996" s="169" t="n"/>
      <c r="C996" s="169" t="n"/>
      <c r="D996" s="169" t="n"/>
      <c r="E996" s="169" t="n"/>
    </row>
    <row r="997">
      <c r="A997" s="169" t="n"/>
      <c r="B997" s="169" t="n"/>
      <c r="C997" s="169" t="n"/>
      <c r="D997" s="169" t="n"/>
      <c r="E997" s="169" t="n"/>
    </row>
    <row r="998">
      <c r="A998" s="169" t="n"/>
      <c r="B998" s="169" t="n"/>
      <c r="C998" s="169" t="n"/>
      <c r="D998" s="169" t="n"/>
      <c r="E998" s="169" t="n"/>
    </row>
    <row r="999">
      <c r="A999" s="169" t="n"/>
      <c r="B999" s="169" t="n"/>
      <c r="C999" s="169" t="n"/>
      <c r="D999" s="169" t="n"/>
      <c r="E999" s="169" t="n"/>
    </row>
    <row r="1000">
      <c r="A1000" s="169" t="n"/>
      <c r="B1000" s="169" t="n"/>
      <c r="C1000" s="169" t="n"/>
      <c r="D1000" s="169" t="n"/>
      <c r="E1000" s="169" t="n"/>
    </row>
  </sheetData>
  <mergeCells count="3">
    <mergeCell ref="D97:D103"/>
    <mergeCell ref="A42:A43"/>
    <mergeCell ref="D2:D5"/>
  </mergeCells>
  <pageMargins left="0.75" right="0.75" top="1" bottom="1" header="0.5" footer="0.5"/>
</worksheet>
</file>

<file path=xl/worksheets/sheet8.xml><?xml version="1.0" encoding="utf-8"?>
<worksheet xmlns="http://schemas.openxmlformats.org/spreadsheetml/2006/main">
  <sheetPr>
    <outlinePr summaryBelow="0" summaryRight="0"/>
    <pageSetUpPr/>
  </sheetPr>
  <dimension ref="A1:H1000"/>
  <sheetViews>
    <sheetView workbookViewId="0">
      <selection activeCell="A1" sqref="A1"/>
    </sheetView>
  </sheetViews>
  <sheetFormatPr baseColWidth="8" defaultColWidth="12.63" defaultRowHeight="15.75" customHeight="1"/>
  <cols>
    <col width="5.5" customWidth="1" style="477" min="1" max="1"/>
    <col width="41" customWidth="1" style="477" min="2" max="2"/>
    <col width="41" customWidth="1" style="477" min="8" max="8"/>
  </cols>
  <sheetData>
    <row r="1">
      <c r="A1" s="385" t="n"/>
      <c r="B1" s="435" t="inlineStr">
        <is>
          <t>編集不可</t>
        </is>
      </c>
    </row>
    <row r="2">
      <c r="A2" s="385" t="n"/>
      <c r="B2" s="436" t="inlineStr">
        <is>
          <t>ITツール名</t>
        </is>
      </c>
      <c r="C2" s="385" t="inlineStr">
        <is>
          <t>No.</t>
        </is>
      </c>
      <c r="D2" s="385" t="inlineStr">
        <is>
          <t xml:space="preserve">ITツールNo.	</t>
        </is>
      </c>
      <c r="E2" s="436" t="inlineStr">
        <is>
          <t>管理コード</t>
        </is>
      </c>
      <c r="F2" s="385" t="inlineStr">
        <is>
          <t>下限</t>
        </is>
      </c>
      <c r="G2" s="385" t="inlineStr">
        <is>
          <t>上限</t>
        </is>
      </c>
      <c r="H2" s="436" t="inlineStr">
        <is>
          <t>ITツール名</t>
        </is>
      </c>
    </row>
    <row r="3">
      <c r="A3" s="437" t="inlineStr">
        <is>
          <t>カラフルボックスコンソーシアム</t>
        </is>
      </c>
      <c r="B3" s="438" t="inlineStr">
        <is>
          <t>貿易クラウド_利用料</t>
        </is>
      </c>
      <c r="C3" s="439" t="inlineStr">
        <is>
          <t>DL06-0000792-001</t>
        </is>
      </c>
      <c r="D3" s="440" t="n"/>
      <c r="E3" s="438" t="inlineStr">
        <is>
          <t>貿易001</t>
        </is>
      </c>
      <c r="F3" s="514" t="n">
        <v>600000</v>
      </c>
      <c r="G3" s="514" t="n">
        <v>3000000</v>
      </c>
      <c r="H3" s="438" t="inlineStr">
        <is>
          <t>目標管理クラウドcbox_ベーシック</t>
        </is>
      </c>
    </row>
    <row r="4">
      <c r="A4" s="437" t="inlineStr">
        <is>
          <t>カラフルボックスコンソーシアム</t>
        </is>
      </c>
      <c r="B4" s="438" t="inlineStr">
        <is>
          <t>カンリル_利用料</t>
        </is>
      </c>
      <c r="C4" s="439" t="inlineStr">
        <is>
          <t>DL06-0029228-001</t>
        </is>
      </c>
      <c r="D4" s="440" t="n"/>
      <c r="E4" s="438" t="inlineStr">
        <is>
          <t>カンリル001</t>
        </is>
      </c>
      <c r="F4" s="514" t="n">
        <v>32509</v>
      </c>
      <c r="G4" s="514" t="n">
        <v>325091</v>
      </c>
      <c r="H4" s="442" t="inlineStr">
        <is>
          <t>目標管理クラウドcbox_スタンダード</t>
        </is>
      </c>
    </row>
    <row r="5">
      <c r="A5" s="437" t="inlineStr">
        <is>
          <t>カラフルボックスコンソーシアム</t>
        </is>
      </c>
      <c r="B5" s="438" t="inlineStr">
        <is>
          <t>社長メシ_スタンダードプラン</t>
        </is>
      </c>
      <c r="C5" s="439" t="inlineStr">
        <is>
          <t>DL06-0029652-001</t>
        </is>
      </c>
      <c r="D5" s="440" t="n"/>
      <c r="E5" s="438" t="inlineStr">
        <is>
          <t>社長メシ001</t>
        </is>
      </c>
      <c r="F5" s="514" t="n">
        <v>1500000</v>
      </c>
      <c r="G5" s="514" t="n">
        <v>1500000</v>
      </c>
      <c r="H5" s="438" t="inlineStr">
        <is>
          <t>目標管理クラウドcbox_プレミアム</t>
        </is>
      </c>
    </row>
    <row r="6">
      <c r="A6" s="437" t="inlineStr">
        <is>
          <t>カラフルボックスコンソーシアム</t>
        </is>
      </c>
      <c r="B6" s="438" t="inlineStr">
        <is>
          <t>せきなび_スタンダード</t>
        </is>
      </c>
      <c r="C6" s="439" t="inlineStr">
        <is>
          <t>DL06-0002760-001</t>
        </is>
      </c>
      <c r="D6" s="440" t="n"/>
      <c r="E6" s="438" t="inlineStr">
        <is>
          <t>seknavi01</t>
        </is>
      </c>
      <c r="F6" s="514" t="n">
        <v>300000</v>
      </c>
      <c r="G6" s="514" t="n">
        <v>360000</v>
      </c>
      <c r="H6" s="442" t="inlineStr">
        <is>
          <t>目標管理クラウドcbox_ベーシック_初期設定</t>
        </is>
      </c>
    </row>
    <row r="7">
      <c r="A7" s="437" t="inlineStr">
        <is>
          <t>カラフルボックスコンソーシアム</t>
        </is>
      </c>
      <c r="B7" s="438" t="inlineStr">
        <is>
          <t>カンリル_導入・活用コンサルティング</t>
        </is>
      </c>
      <c r="C7" s="439" t="inlineStr">
        <is>
          <t>DL07-0001708</t>
        </is>
      </c>
      <c r="D7" s="440" t="n"/>
      <c r="E7" s="438" t="inlineStr">
        <is>
          <t>カンリル003</t>
        </is>
      </c>
      <c r="F7" s="514" t="n">
        <v>20000</v>
      </c>
      <c r="G7" s="514" t="n">
        <v>150000</v>
      </c>
      <c r="H7" s="438" t="inlineStr">
        <is>
          <t>目標管理クラウドcbox_ベーシック_保守・サポート</t>
        </is>
      </c>
    </row>
    <row r="8">
      <c r="A8" s="437" t="inlineStr">
        <is>
          <t>カラフルボックスコンソーシアム</t>
        </is>
      </c>
      <c r="B8" s="438" t="inlineStr">
        <is>
          <t>カンリル_初期設定</t>
        </is>
      </c>
      <c r="C8" s="439" t="inlineStr">
        <is>
          <t>DL07-0001738</t>
        </is>
      </c>
      <c r="D8" s="440" t="n"/>
      <c r="E8" s="438" t="inlineStr">
        <is>
          <t>カンリル002</t>
        </is>
      </c>
      <c r="F8" s="514" t="n">
        <v>50000</v>
      </c>
      <c r="G8" s="514" t="n">
        <v>150000</v>
      </c>
      <c r="H8" s="442" t="inlineStr">
        <is>
          <t>目標管理クラウドcbox_導入・活用コンサルティング</t>
        </is>
      </c>
    </row>
    <row r="9">
      <c r="A9" s="437" t="inlineStr">
        <is>
          <t>カラフルボックスコンソーシアム</t>
        </is>
      </c>
      <c r="B9" s="438" t="inlineStr">
        <is>
          <t>Scale人事評価_スタンダードプラン</t>
        </is>
      </c>
      <c r="C9" s="439" t="inlineStr">
        <is>
          <t>DL07-0002412</t>
        </is>
      </c>
      <c r="D9" s="440" t="n"/>
      <c r="E9" s="438" t="inlineStr">
        <is>
          <t>Scale001</t>
        </is>
      </c>
      <c r="F9" s="514" t="n">
        <v>1920</v>
      </c>
      <c r="G9" s="514" t="n">
        <v>12000</v>
      </c>
      <c r="H9" s="438" t="inlineStr">
        <is>
          <t>目標管理クラウドcbox_スタンダード_初期設定</t>
        </is>
      </c>
    </row>
    <row r="10">
      <c r="A10" s="437" t="inlineStr">
        <is>
          <t>カラフルボックスコンソーシアム</t>
        </is>
      </c>
      <c r="B10" s="438" t="inlineStr">
        <is>
          <t>AI Works_保守・サポート</t>
        </is>
      </c>
      <c r="C10" s="439" t="inlineStr">
        <is>
          <t>DL07-0001726</t>
        </is>
      </c>
      <c r="D10" s="440" t="n"/>
      <c r="E10" s="438" t="inlineStr">
        <is>
          <t>AIWorks005</t>
        </is>
      </c>
      <c r="F10" s="514" t="n">
        <v>120000</v>
      </c>
      <c r="G10" s="514" t="n">
        <v>600000</v>
      </c>
      <c r="H10" s="442" t="inlineStr">
        <is>
          <t>目標管理クラウドcbox_スタンダード_保守・サポート</t>
        </is>
      </c>
    </row>
    <row r="11">
      <c r="A11" s="437" t="inlineStr">
        <is>
          <t>カラフルボックスコンソーシアム</t>
        </is>
      </c>
      <c r="B11" s="438" t="inlineStr">
        <is>
          <t>AI Works_利用料</t>
        </is>
      </c>
      <c r="C11" s="439" t="inlineStr">
        <is>
          <t>DL06-0001191-001</t>
        </is>
      </c>
      <c r="D11" s="440" t="n"/>
      <c r="E11" s="438" t="inlineStr">
        <is>
          <t>AIWorks001</t>
        </is>
      </c>
      <c r="F11" s="514" t="n">
        <v>120000</v>
      </c>
      <c r="G11" s="514" t="n">
        <v>360000</v>
      </c>
      <c r="H11" s="438" t="inlineStr">
        <is>
          <t>目標管理クラウドcbox_プレミアム_初期設定</t>
        </is>
      </c>
    </row>
    <row r="12">
      <c r="A12" s="437" t="inlineStr">
        <is>
          <t>カラフルボックスコンソーシアム</t>
        </is>
      </c>
      <c r="B12" s="438" t="inlineStr">
        <is>
          <t>カンリル_保守サポート</t>
        </is>
      </c>
      <c r="C12" s="439" t="inlineStr">
        <is>
          <t>DL07-0001733</t>
        </is>
      </c>
      <c r="D12" s="440" t="n"/>
      <c r="E12" s="438" t="inlineStr">
        <is>
          <t>カンリル004</t>
        </is>
      </c>
      <c r="F12" s="514" t="n">
        <v>60000</v>
      </c>
      <c r="G12" s="514" t="n">
        <v>125000</v>
      </c>
      <c r="H12" s="442" t="inlineStr">
        <is>
          <t>目標管理クラウドcbox_プレミアム_保守・サポート</t>
        </is>
      </c>
    </row>
    <row r="13">
      <c r="A13" s="437" t="inlineStr">
        <is>
          <t>カラフルボックスコンソーシアム</t>
        </is>
      </c>
      <c r="B13" s="438" t="inlineStr">
        <is>
          <t>freee会計_スタータープラン</t>
        </is>
      </c>
      <c r="C13" s="439" t="inlineStr">
        <is>
          <t>DL07-0007357</t>
        </is>
      </c>
      <c r="D13" s="440" t="n"/>
      <c r="E13" s="438" t="inlineStr">
        <is>
          <t>freee会計001</t>
        </is>
      </c>
      <c r="F13" s="514" t="n">
        <v>65760</v>
      </c>
      <c r="G13" s="514" t="n">
        <v>65760</v>
      </c>
      <c r="H13" s="438" t="inlineStr">
        <is>
          <t>貿易クラウド_利用料</t>
        </is>
      </c>
    </row>
    <row r="14">
      <c r="A14" s="437" t="inlineStr">
        <is>
          <t>カラフルボックスコンソーシアム</t>
        </is>
      </c>
      <c r="B14" s="438" t="inlineStr">
        <is>
          <t>Scale人事評価スタンダードプラン_初期設定</t>
        </is>
      </c>
      <c r="C14" s="439" t="inlineStr">
        <is>
          <t>DL07-0020657</t>
        </is>
      </c>
      <c r="D14" s="440" t="n"/>
      <c r="E14" s="438" t="inlineStr">
        <is>
          <t>Scale002</t>
        </is>
      </c>
      <c r="F14" s="514" t="n">
        <v>80000</v>
      </c>
      <c r="G14" s="514" t="n">
        <v>160000</v>
      </c>
      <c r="H14" s="442" t="inlineStr">
        <is>
          <t>AI Works_利用料</t>
        </is>
      </c>
    </row>
    <row r="15">
      <c r="A15" s="437" t="inlineStr">
        <is>
          <t>カラフルボックスコンソーシアム</t>
        </is>
      </c>
      <c r="B15" s="438" t="inlineStr">
        <is>
          <t>AI Works_初期設定</t>
        </is>
      </c>
      <c r="C15" s="439" t="inlineStr">
        <is>
          <t>DL07-0003894</t>
        </is>
      </c>
      <c r="D15" s="440" t="n"/>
      <c r="E15" s="438" t="inlineStr">
        <is>
          <t>AIWorks003</t>
        </is>
      </c>
      <c r="F15" s="514" t="n">
        <v>10000</v>
      </c>
      <c r="G15" s="514" t="n">
        <v>200000</v>
      </c>
      <c r="H15" s="438" t="inlineStr">
        <is>
          <t>AI Works_利用料_初期設定</t>
        </is>
      </c>
    </row>
    <row r="16">
      <c r="A16" s="437" t="inlineStr">
        <is>
          <t>カラフルボックスコンソーシアム</t>
        </is>
      </c>
      <c r="B16" s="438" t="inlineStr">
        <is>
          <t>PCセキュリティみまもりパック</t>
        </is>
      </c>
      <c r="C16" s="439" t="inlineStr">
        <is>
          <t>DL07-0002804</t>
        </is>
      </c>
      <c r="D16" s="440" t="n"/>
      <c r="E16" s="438" t="inlineStr">
        <is>
          <t>pcsecurity</t>
        </is>
      </c>
      <c r="F16" s="514" t="n"/>
      <c r="G16" s="514" t="n"/>
      <c r="H16" s="442" t="inlineStr">
        <is>
          <t>AI Works_利用料_保守・サポート</t>
        </is>
      </c>
    </row>
    <row r="17">
      <c r="A17" s="437" t="inlineStr">
        <is>
          <t>カラフルボックスコンソーシアム</t>
        </is>
      </c>
      <c r="B17" s="438" t="inlineStr">
        <is>
          <t>Scale人事評価_導入・活用コンサルティング</t>
        </is>
      </c>
      <c r="C17" s="439" t="inlineStr">
        <is>
          <t>DL07-0020659</t>
        </is>
      </c>
      <c r="D17" s="440" t="n"/>
      <c r="E17" s="438" t="inlineStr">
        <is>
          <t>Scale003</t>
        </is>
      </c>
      <c r="F17" s="514" t="n">
        <v>300000</v>
      </c>
      <c r="G17" s="514" t="n">
        <v>900000</v>
      </c>
      <c r="H17" s="438" t="inlineStr">
        <is>
          <t>AI Works_導入活用コンサルティング</t>
        </is>
      </c>
    </row>
    <row r="18">
      <c r="A18" s="437" t="inlineStr">
        <is>
          <t>カラフルボックスコンソーシアム</t>
        </is>
      </c>
      <c r="B18" s="438" t="inlineStr">
        <is>
          <t>AI Works_導入活用コンサルティング</t>
        </is>
      </c>
      <c r="C18" s="439" t="inlineStr">
        <is>
          <t>DL07-0003887</t>
        </is>
      </c>
      <c r="D18" s="440" t="n"/>
      <c r="E18" s="438" t="inlineStr">
        <is>
          <t>AIWorks002</t>
        </is>
      </c>
      <c r="F18" s="514" t="n">
        <v>100000</v>
      </c>
      <c r="G18" s="514" t="n">
        <v>450000</v>
      </c>
      <c r="H18" s="442" t="inlineStr">
        <is>
          <t>LINE公式アカウント_ライトプラン</t>
        </is>
      </c>
    </row>
    <row r="19">
      <c r="A19" s="437" t="inlineStr">
        <is>
          <t>カラフルボックスコンソーシアム</t>
        </is>
      </c>
      <c r="B19" s="438" t="inlineStr">
        <is>
          <t>Scale人事評価スタンダードプラン_保守サポート</t>
        </is>
      </c>
      <c r="C19" s="439" t="inlineStr">
        <is>
          <t>DL07-0020660</t>
        </is>
      </c>
      <c r="D19" s="440" t="n"/>
      <c r="E19" s="438" t="inlineStr">
        <is>
          <t>Scale004</t>
        </is>
      </c>
      <c r="F19" s="514" t="n">
        <v>120000</v>
      </c>
      <c r="G19" s="514" t="n">
        <v>480000</v>
      </c>
      <c r="H19" s="438" t="inlineStr">
        <is>
          <t>LINE公式アカウント_スタンダードプラン</t>
        </is>
      </c>
    </row>
    <row r="20">
      <c r="A20" s="437" t="inlineStr">
        <is>
          <t>クラフトバンク</t>
        </is>
      </c>
      <c r="B20" s="438" t="inlineStr">
        <is>
          <t>クラフトバンクオフィス プロフェッショナルプラン</t>
        </is>
      </c>
      <c r="C20" s="439" t="inlineStr">
        <is>
          <t>DL04-0029552-004</t>
        </is>
      </c>
      <c r="D20" s="440" t="n"/>
      <c r="E20" s="438" t="inlineStr">
        <is>
          <t>クラフトバンクオフィス プロフェッショナルプラン</t>
        </is>
      </c>
      <c r="F20" s="514" t="n">
        <v>1080000</v>
      </c>
      <c r="G20" s="514" t="n">
        <v>2160000</v>
      </c>
      <c r="H20" s="442" t="inlineStr">
        <is>
          <t>Lステップ_スタートプラン</t>
        </is>
      </c>
    </row>
    <row r="21">
      <c r="A21" s="437" t="inlineStr">
        <is>
          <t>クラフトバンク</t>
        </is>
      </c>
      <c r="B21" s="438" t="inlineStr">
        <is>
          <t>クラフトバンクオフィス エンタープライズプラン</t>
        </is>
      </c>
      <c r="C21" s="439" t="inlineStr">
        <is>
          <t>DL04-0029554-004</t>
        </is>
      </c>
      <c r="D21" s="440" t="n"/>
      <c r="E21" s="438" t="inlineStr">
        <is>
          <t>クラフトバンクオフィス エンタープライズプラン</t>
        </is>
      </c>
      <c r="F21" s="514" t="n">
        <v>1350000</v>
      </c>
      <c r="G21" s="514" t="n">
        <v>2700000</v>
      </c>
      <c r="H21" s="438" t="inlineStr">
        <is>
          <t>Lステップ_スタンダードプラン</t>
        </is>
      </c>
    </row>
    <row r="22">
      <c r="A22" s="437" t="inlineStr">
        <is>
          <t>クラフトバンク</t>
        </is>
      </c>
      <c r="B22" s="438" t="inlineStr">
        <is>
          <t>導入コンサルティング活用コンサルティング（クラフトバンクオフィス スタンダードプラン）</t>
        </is>
      </c>
      <c r="C22" s="439" t="inlineStr">
        <is>
          <t>DL07-0000180</t>
        </is>
      </c>
      <c r="D22" s="440" t="n"/>
      <c r="E22" s="438" t="inlineStr">
        <is>
          <t>導入コンサルティング活用コンサルティング（クラフトバンクオフィス スタンダードプラン）</t>
        </is>
      </c>
      <c r="F22" s="514" t="n">
        <v>600000</v>
      </c>
      <c r="G22" s="514" t="n">
        <v>1205000</v>
      </c>
      <c r="H22" s="442" t="inlineStr">
        <is>
          <t>Lステップ_プロプラン</t>
        </is>
      </c>
    </row>
    <row r="23">
      <c r="A23" s="437" t="inlineStr">
        <is>
          <t>クラフトバンク</t>
        </is>
      </c>
      <c r="B23" s="438" t="inlineStr">
        <is>
          <t>導入コンサルティング（クラフトバンクオフィス プロフェッショナルプラン）</t>
        </is>
      </c>
      <c r="C23" s="439" t="inlineStr">
        <is>
          <t>DL07-0000059</t>
        </is>
      </c>
      <c r="D23" s="440" t="n"/>
      <c r="E23" s="438" t="inlineStr">
        <is>
          <t>導入コンサルティング（クラフトバンクオフィス プロフェッショナルプラン）</t>
        </is>
      </c>
      <c r="F23" s="514" t="n">
        <v>800000</v>
      </c>
      <c r="G23" s="514" t="n">
        <v>1600000</v>
      </c>
      <c r="H23" s="438" t="inlineStr">
        <is>
          <t>UTAGE_ライトプラン</t>
        </is>
      </c>
    </row>
    <row r="24">
      <c r="A24" s="437" t="inlineStr">
        <is>
          <t>クラフトバンク</t>
        </is>
      </c>
      <c r="B24" s="438" t="inlineStr">
        <is>
          <t>クラフトバンクオフィス スタンダードプラン</t>
        </is>
      </c>
      <c r="C24" s="439" t="inlineStr">
        <is>
          <t>DL04-0029553-003</t>
        </is>
      </c>
      <c r="D24" s="440" t="n"/>
      <c r="E24" s="438" t="inlineStr">
        <is>
          <t>クラフトバンクオフィス スタンダードプラン</t>
        </is>
      </c>
      <c r="F24" s="514" t="n">
        <v>600000</v>
      </c>
      <c r="G24" s="514" t="n">
        <v>1200000</v>
      </c>
      <c r="H24" s="442" t="inlineStr">
        <is>
          <t>UTAGE_スタンダードプラン</t>
        </is>
      </c>
    </row>
    <row r="25">
      <c r="A25" s="437" t="inlineStr">
        <is>
          <t>クラフトバンク</t>
        </is>
      </c>
      <c r="B25" s="438" t="inlineStr">
        <is>
          <t>導入コンサルティング（クラフトバンクオフィス スタンダードプラン）</t>
        </is>
      </c>
      <c r="C25" s="439" t="inlineStr">
        <is>
          <t>DL07-0000025</t>
        </is>
      </c>
      <c r="D25" s="440" t="n"/>
      <c r="E25" s="438" t="inlineStr">
        <is>
          <t>導入コンサルティング（クラフトバンクオフィス スタンダードプラン）</t>
        </is>
      </c>
      <c r="F25" s="514" t="n">
        <v>400000</v>
      </c>
      <c r="G25" s="514" t="n">
        <v>800000</v>
      </c>
      <c r="H25" s="438" t="inlineStr">
        <is>
          <t>せきなび_スタンダード</t>
        </is>
      </c>
    </row>
    <row r="26">
      <c r="A26" s="437" t="inlineStr">
        <is>
          <t>クラフトバンク</t>
        </is>
      </c>
      <c r="B26" s="438" t="inlineStr">
        <is>
          <t>初期設定（クラフトバンクオフィス プロフェッショナルプラン）</t>
        </is>
      </c>
      <c r="C26" s="439" t="inlineStr">
        <is>
          <t>DL07-0000070</t>
        </is>
      </c>
      <c r="D26" s="440" t="n"/>
      <c r="E26" s="438" t="inlineStr">
        <is>
          <t>初期設定（クラフトバンクオフィス プロフェッショナルプラン）</t>
        </is>
      </c>
      <c r="F26" s="514" t="n">
        <v>1200000</v>
      </c>
      <c r="G26" s="514" t="n">
        <v>1800000</v>
      </c>
      <c r="H26" s="442" t="inlineStr">
        <is>
          <t>CRS人材募集管理システム_ベーシック</t>
        </is>
      </c>
    </row>
    <row r="27">
      <c r="A27" s="437" t="inlineStr">
        <is>
          <t>クラフトバンク</t>
        </is>
      </c>
      <c r="B27" s="438" t="inlineStr">
        <is>
          <t>初期設定（クラフトバンクオフィス スタンダードプラン）</t>
        </is>
      </c>
      <c r="C27" s="439" t="inlineStr">
        <is>
          <t>DL07-0000036</t>
        </is>
      </c>
      <c r="D27" s="440" t="n"/>
      <c r="E27" s="438" t="inlineStr">
        <is>
          <t>初期設定（クラフトバンクオフィス スタンダードプラン）</t>
        </is>
      </c>
      <c r="F27" s="514" t="n">
        <v>600000</v>
      </c>
      <c r="G27" s="514" t="n">
        <v>1200000</v>
      </c>
      <c r="H27" s="438" t="inlineStr">
        <is>
          <t>CRS人材募集管理システム_ベーシック_初期導入</t>
        </is>
      </c>
    </row>
    <row r="28">
      <c r="A28" s="437" t="inlineStr">
        <is>
          <t>クラフトバンク</t>
        </is>
      </c>
      <c r="B28" s="438" t="inlineStr">
        <is>
          <t>導入コンサルティング活用コンサルティング（クラフトバンクオフィス プロフェッショナルプラン</t>
        </is>
      </c>
      <c r="C28" s="439" t="inlineStr">
        <is>
          <t>DL07-0001646</t>
        </is>
      </c>
      <c r="D28" s="440" t="n"/>
      <c r="E28" s="438" t="inlineStr">
        <is>
          <t>導入コンサルティング活用コンサルティング（クラフトバンクオフィス プロフェッショナルプラン</t>
        </is>
      </c>
      <c r="F28" s="514" t="n">
        <v>1000000</v>
      </c>
      <c r="G28" s="514" t="n">
        <v>1805000</v>
      </c>
      <c r="H28" s="442" t="inlineStr">
        <is>
          <t>CRS人材募集管理システム_ベーシック_保守・サポート</t>
        </is>
      </c>
    </row>
    <row r="29">
      <c r="A29" s="437" t="inlineStr">
        <is>
          <t>クラフトバンク</t>
        </is>
      </c>
      <c r="B29" s="438" t="inlineStr">
        <is>
          <t>導入コンサルティング活用コンサルティング（プロフェッショナルプラン）</t>
        </is>
      </c>
      <c r="C29" s="439" t="inlineStr">
        <is>
          <t>DL07-0004098</t>
        </is>
      </c>
      <c r="D29" s="440" t="n"/>
      <c r="E29" s="438" t="inlineStr">
        <is>
          <t>導入コンサルティング活用コンサルティング（プロフェッショナルプラン）</t>
        </is>
      </c>
      <c r="F29" s="514" t="n">
        <v>1000000</v>
      </c>
      <c r="G29" s="514" t="n">
        <v>1920000</v>
      </c>
      <c r="H29" s="450" t="n"/>
    </row>
    <row r="30">
      <c r="A30" s="437" t="inlineStr">
        <is>
          <t>ピスケス</t>
        </is>
      </c>
      <c r="B30" s="438" t="inlineStr">
        <is>
          <t>着信ポップアップCTI</t>
        </is>
      </c>
      <c r="C30" s="439" t="inlineStr">
        <is>
          <t>DL06-0034655-001</t>
        </is>
      </c>
      <c r="D30" s="440" t="n"/>
      <c r="E30" s="438" t="inlineStr">
        <is>
          <t>PSA003</t>
        </is>
      </c>
      <c r="F30" s="514" t="n">
        <v>108000</v>
      </c>
      <c r="G30" s="514" t="n">
        <v>120000</v>
      </c>
      <c r="H30" s="450" t="n"/>
    </row>
    <row r="31">
      <c r="A31" s="437" t="inlineStr">
        <is>
          <t>ピスケス</t>
        </is>
      </c>
      <c r="B31" s="438" t="inlineStr">
        <is>
          <t>LINEコネクト</t>
        </is>
      </c>
      <c r="C31" s="439" t="inlineStr">
        <is>
          <t>DL06-0033682-001</t>
        </is>
      </c>
      <c r="D31" s="440" t="n"/>
      <c r="E31" s="438" t="inlineStr">
        <is>
          <t>PLINE</t>
        </is>
      </c>
      <c r="F31" s="514" t="n">
        <v>64000</v>
      </c>
      <c r="G31" s="514" t="n">
        <v>80000</v>
      </c>
      <c r="H31" s="450" t="n"/>
    </row>
    <row r="32">
      <c r="A32" s="437" t="inlineStr">
        <is>
          <t>ピスケス</t>
        </is>
      </c>
      <c r="B32" s="438" t="inlineStr">
        <is>
          <t>ピスケスアポ</t>
        </is>
      </c>
      <c r="C32" s="439" t="inlineStr">
        <is>
          <t>DL05-0024072-002</t>
        </is>
      </c>
      <c r="D32" s="440" t="n"/>
      <c r="E32" s="438" t="inlineStr">
        <is>
          <t>piscesapo2024</t>
        </is>
      </c>
      <c r="F32" s="514" t="n">
        <v>408000</v>
      </c>
      <c r="G32" s="514" t="n">
        <v>480000</v>
      </c>
      <c r="H32" s="385" t="n"/>
    </row>
    <row r="33">
      <c r="A33" s="437" t="inlineStr">
        <is>
          <t>ピスケス</t>
        </is>
      </c>
      <c r="B33" s="438" t="inlineStr">
        <is>
          <t>SMS</t>
        </is>
      </c>
      <c r="C33" s="439" t="inlineStr">
        <is>
          <t>DL06-0034634-001</t>
        </is>
      </c>
      <c r="D33" s="440" t="n"/>
      <c r="E33" s="438" t="inlineStr">
        <is>
          <t>PKA002</t>
        </is>
      </c>
      <c r="F33" s="514" t="n">
        <v>64000</v>
      </c>
      <c r="G33" s="514" t="n">
        <v>80000</v>
      </c>
      <c r="H33" s="385" t="n"/>
    </row>
    <row r="34">
      <c r="A34" s="437" t="inlineStr">
        <is>
          <t>いろはな</t>
        </is>
      </c>
      <c r="B34" s="438" t="inlineStr">
        <is>
          <t>irohana study スモール</t>
        </is>
      </c>
      <c r="C34" s="439" t="inlineStr">
        <is>
          <t>DL07-0024780</t>
        </is>
      </c>
      <c r="D34" s="440" t="n"/>
      <c r="E34" s="438" t="inlineStr">
        <is>
          <t>study_s</t>
        </is>
      </c>
      <c r="F34" s="514" t="n">
        <v>237600</v>
      </c>
      <c r="G34" s="514" t="n">
        <v>357600</v>
      </c>
      <c r="H34" s="385" t="n"/>
    </row>
    <row r="35">
      <c r="A35" s="437" t="inlineStr">
        <is>
          <t>いろはな</t>
        </is>
      </c>
      <c r="B35" s="438" t="inlineStr">
        <is>
          <t>irohana visa スモール</t>
        </is>
      </c>
      <c r="C35" s="439" t="inlineStr">
        <is>
          <t>DL07-0014825</t>
        </is>
      </c>
      <c r="D35" s="440" t="n"/>
      <c r="E35" s="438" t="inlineStr">
        <is>
          <t>visa_s</t>
        </is>
      </c>
      <c r="F35" s="514" t="n">
        <v>357600</v>
      </c>
      <c r="G35" s="514" t="n">
        <v>357600</v>
      </c>
      <c r="H35" s="385" t="n"/>
    </row>
    <row r="36">
      <c r="A36" s="437" t="inlineStr">
        <is>
          <t>いろはな</t>
        </is>
      </c>
      <c r="B36" s="438" t="inlineStr">
        <is>
          <t>irohana study スタンダード</t>
        </is>
      </c>
      <c r="C36" s="439" t="inlineStr">
        <is>
          <t>DL07-0024781</t>
        </is>
      </c>
      <c r="D36" s="440" t="n"/>
      <c r="E36" s="438" t="inlineStr">
        <is>
          <t>study_m</t>
        </is>
      </c>
      <c r="F36" s="514" t="n">
        <v>357600</v>
      </c>
      <c r="G36" s="514" t="n">
        <v>477600</v>
      </c>
      <c r="H36" s="385" t="n"/>
    </row>
    <row r="37">
      <c r="A37" s="437" t="inlineStr">
        <is>
          <t>いろはな</t>
        </is>
      </c>
      <c r="B37" s="438" t="inlineStr">
        <is>
          <t>irohana 導入コンサルティング等</t>
        </is>
      </c>
      <c r="C37" s="439" t="inlineStr">
        <is>
          <t>DL07-0019039</t>
        </is>
      </c>
      <c r="D37" s="440" t="n"/>
      <c r="E37" s="438" t="inlineStr">
        <is>
          <t>導入コンサルティング等</t>
        </is>
      </c>
      <c r="F37" s="514" t="n">
        <v>200000</v>
      </c>
      <c r="G37" s="514" t="n">
        <v>200000</v>
      </c>
      <c r="H37" s="385" t="n"/>
    </row>
    <row r="38">
      <c r="A38" s="437" t="inlineStr">
        <is>
          <t>いろはな</t>
        </is>
      </c>
      <c r="B38" s="438" t="inlineStr">
        <is>
          <t>irohana visa ラージ</t>
        </is>
      </c>
      <c r="C38" s="439" t="inlineStr">
        <is>
          <t>DL07-0019031</t>
        </is>
      </c>
      <c r="D38" s="440" t="n"/>
      <c r="E38" s="438" t="inlineStr">
        <is>
          <t>visa_l</t>
        </is>
      </c>
      <c r="F38" s="514" t="n">
        <v>597600</v>
      </c>
      <c r="G38" s="514" t="n">
        <v>597600</v>
      </c>
      <c r="H38" s="385" t="n"/>
    </row>
    <row r="39">
      <c r="A39" s="437" t="inlineStr">
        <is>
          <t>いろはな</t>
        </is>
      </c>
      <c r="B39" s="438" t="inlineStr">
        <is>
          <t>irohana visa スモール導入設定等</t>
        </is>
      </c>
      <c r="C39" s="439" t="inlineStr">
        <is>
          <t>DL07-0019034</t>
        </is>
      </c>
      <c r="D39" s="440" t="n"/>
      <c r="E39" s="438" t="inlineStr">
        <is>
          <t>導入設定等_visa_s</t>
        </is>
      </c>
      <c r="F39" s="514" t="n">
        <v>50000</v>
      </c>
      <c r="G39" s="514" t="n">
        <v>150000</v>
      </c>
      <c r="H39" s="385" t="n"/>
    </row>
    <row r="40">
      <c r="A40" s="437" t="inlineStr">
        <is>
          <t>いろはな</t>
        </is>
      </c>
      <c r="B40" s="438" t="inlineStr">
        <is>
          <t>irohana visa ラージ導入設定等</t>
        </is>
      </c>
      <c r="C40" s="439" t="inlineStr">
        <is>
          <t>DL07-0020470</t>
        </is>
      </c>
      <c r="D40" s="440" t="n"/>
      <c r="E40" s="438" t="inlineStr">
        <is>
          <t>導入設定等_visa_l</t>
        </is>
      </c>
      <c r="F40" s="514" t="n">
        <v>50000</v>
      </c>
      <c r="G40" s="514" t="n">
        <v>150000</v>
      </c>
      <c r="H40" s="385" t="n"/>
    </row>
    <row r="41">
      <c r="A41" s="437" t="inlineStr">
        <is>
          <t>いろはな</t>
        </is>
      </c>
      <c r="B41" s="438" t="inlineStr">
        <is>
          <t>irohana study ラージ</t>
        </is>
      </c>
      <c r="C41" s="439" t="inlineStr">
        <is>
          <t>DL07-0027397</t>
        </is>
      </c>
      <c r="D41" s="440" t="n"/>
      <c r="E41" s="438" t="inlineStr">
        <is>
          <t>study_l</t>
        </is>
      </c>
      <c r="F41" s="514" t="n">
        <v>657600</v>
      </c>
      <c r="G41" s="514" t="n">
        <v>777600</v>
      </c>
      <c r="H41" s="385" t="n"/>
    </row>
    <row r="42">
      <c r="A42" s="437" t="inlineStr">
        <is>
          <t>いろはな</t>
        </is>
      </c>
      <c r="B42" s="438" t="inlineStr">
        <is>
          <t>irohana visa スタンダード導入設定等</t>
        </is>
      </c>
      <c r="C42" s="439" t="inlineStr">
        <is>
          <t>DL07-0020466</t>
        </is>
      </c>
      <c r="D42" s="440" t="n"/>
      <c r="E42" s="438" t="inlineStr">
        <is>
          <t>導入設定等_visa_m</t>
        </is>
      </c>
      <c r="F42" s="514" t="n">
        <v>50000</v>
      </c>
      <c r="G42" s="514" t="n">
        <v>150000</v>
      </c>
      <c r="H42" s="385" t="n"/>
    </row>
    <row r="43">
      <c r="A43" s="437" t="inlineStr">
        <is>
          <t>いろはな</t>
        </is>
      </c>
      <c r="B43" s="438" t="inlineStr">
        <is>
          <t>irohana visa スタンダード</t>
        </is>
      </c>
      <c r="C43" s="439" t="inlineStr">
        <is>
          <t>DL07-0019029</t>
        </is>
      </c>
      <c r="D43" s="440" t="n"/>
      <c r="E43" s="438" t="inlineStr">
        <is>
          <t>visa_m</t>
        </is>
      </c>
      <c r="F43" s="514" t="n">
        <v>477600</v>
      </c>
      <c r="G43" s="514" t="n">
        <v>477600</v>
      </c>
      <c r="H43" s="385" t="n"/>
    </row>
    <row r="44">
      <c r="A44" s="437" t="inlineStr">
        <is>
          <t>いろはな</t>
        </is>
      </c>
      <c r="B44" s="438" t="inlineStr">
        <is>
          <t>irohana study スタンダード導入設定等</t>
        </is>
      </c>
      <c r="C44" s="439" t="inlineStr">
        <is>
          <t>DL07-0028061</t>
        </is>
      </c>
      <c r="D44" s="440" t="n"/>
      <c r="E44" s="438" t="inlineStr">
        <is>
          <t>導入設定等_study_m</t>
        </is>
      </c>
      <c r="F44" s="514" t="n">
        <v>50000</v>
      </c>
      <c r="G44" s="514" t="n">
        <v>150000</v>
      </c>
      <c r="H44" s="385" t="n"/>
    </row>
    <row r="45">
      <c r="A45" s="437" t="inlineStr">
        <is>
          <t>いろはな</t>
        </is>
      </c>
      <c r="B45" s="438" t="inlineStr">
        <is>
          <t>irohana study スモール導入設定等</t>
        </is>
      </c>
      <c r="C45" s="439" t="inlineStr">
        <is>
          <t>DL07-0028059</t>
        </is>
      </c>
      <c r="D45" s="440" t="n"/>
      <c r="E45" s="438" t="inlineStr">
        <is>
          <t>導入設定等_study_s</t>
        </is>
      </c>
      <c r="F45" s="514" t="n">
        <v>50000</v>
      </c>
      <c r="G45" s="514" t="n">
        <v>150000</v>
      </c>
      <c r="H45" s="385" t="n"/>
    </row>
    <row r="46">
      <c r="A46" s="385" t="n"/>
      <c r="B46" s="385" t="n"/>
      <c r="C46" s="385" t="n"/>
      <c r="D46" s="385" t="n"/>
      <c r="E46" s="385" t="n"/>
      <c r="F46" s="520" t="n"/>
      <c r="G46" s="520" t="n"/>
      <c r="H46" s="385" t="n"/>
    </row>
    <row r="47">
      <c r="A47" s="385" t="n"/>
      <c r="B47" s="385" t="n"/>
      <c r="C47" s="385" t="n"/>
      <c r="D47" s="385" t="n"/>
      <c r="E47" s="385" t="n"/>
      <c r="F47" s="520" t="n"/>
      <c r="G47" s="520" t="n"/>
      <c r="H47" s="385" t="n"/>
    </row>
    <row r="48">
      <c r="A48" s="385" t="n"/>
      <c r="B48" s="385" t="n"/>
      <c r="C48" s="385" t="n"/>
      <c r="D48" s="385" t="n"/>
      <c r="E48" s="385" t="n"/>
      <c r="F48" s="520" t="n"/>
      <c r="G48" s="520" t="n"/>
      <c r="H48" s="385" t="n"/>
    </row>
    <row r="49">
      <c r="A49" s="385" t="n"/>
      <c r="B49" s="385" t="n"/>
      <c r="C49" s="385" t="n"/>
      <c r="D49" s="385" t="n"/>
      <c r="E49" s="385" t="n"/>
      <c r="F49" s="520" t="n"/>
      <c r="G49" s="520" t="n"/>
      <c r="H49" s="385" t="n"/>
    </row>
    <row r="50">
      <c r="A50" s="385" t="n"/>
      <c r="B50" s="385" t="n"/>
      <c r="C50" s="385" t="n"/>
      <c r="D50" s="385" t="n"/>
      <c r="E50" s="385" t="n"/>
      <c r="F50" s="520" t="n"/>
      <c r="G50" s="520" t="n"/>
      <c r="H50" s="385" t="n"/>
    </row>
    <row r="51">
      <c r="A51" s="385" t="n"/>
      <c r="B51" s="385" t="n"/>
      <c r="C51" s="385" t="n"/>
      <c r="D51" s="385" t="n"/>
      <c r="E51" s="385" t="n"/>
      <c r="F51" s="520" t="n"/>
      <c r="G51" s="520" t="n"/>
      <c r="H51" s="385" t="n"/>
    </row>
    <row r="52">
      <c r="A52" s="385" t="n"/>
      <c r="B52" s="385" t="n"/>
      <c r="C52" s="385" t="n"/>
      <c r="D52" s="385" t="n"/>
      <c r="E52" s="385" t="n"/>
      <c r="F52" s="520" t="n"/>
      <c r="G52" s="520" t="n"/>
      <c r="H52" s="385" t="n"/>
    </row>
    <row r="53">
      <c r="A53" s="385" t="n"/>
      <c r="B53" s="385" t="n"/>
      <c r="C53" s="385" t="n"/>
      <c r="D53" s="385" t="n"/>
      <c r="E53" s="385" t="n"/>
      <c r="F53" s="520" t="n"/>
      <c r="G53" s="520" t="n"/>
      <c r="H53" s="385" t="n"/>
    </row>
    <row r="54">
      <c r="A54" s="385" t="n"/>
      <c r="B54" s="385" t="n"/>
      <c r="C54" s="385" t="n"/>
      <c r="D54" s="385" t="n"/>
      <c r="E54" s="385" t="n"/>
      <c r="F54" s="520" t="n"/>
      <c r="G54" s="520" t="n"/>
      <c r="H54" s="385" t="n"/>
    </row>
    <row r="55">
      <c r="A55" s="385" t="n"/>
      <c r="B55" s="385" t="n"/>
      <c r="C55" s="385" t="n"/>
      <c r="D55" s="385" t="n"/>
      <c r="E55" s="385" t="n"/>
      <c r="F55" s="520" t="n"/>
      <c r="G55" s="520" t="n"/>
      <c r="H55" s="385" t="n"/>
    </row>
    <row r="56">
      <c r="A56" s="385" t="n"/>
      <c r="B56" s="385" t="n"/>
      <c r="C56" s="385" t="n"/>
      <c r="D56" s="385" t="n"/>
      <c r="E56" s="385" t="n"/>
      <c r="F56" s="520" t="n"/>
      <c r="G56" s="520" t="n"/>
      <c r="H56" s="385" t="n"/>
    </row>
    <row r="57">
      <c r="A57" s="385" t="n"/>
      <c r="B57" s="385" t="n"/>
      <c r="C57" s="385" t="n"/>
      <c r="D57" s="385" t="n"/>
      <c r="E57" s="385" t="n"/>
      <c r="F57" s="520" t="n"/>
      <c r="G57" s="520" t="n"/>
      <c r="H57" s="385" t="n"/>
    </row>
    <row r="58">
      <c r="A58" s="385" t="n"/>
      <c r="B58" s="385" t="n"/>
      <c r="C58" s="385" t="n"/>
      <c r="D58" s="385" t="n"/>
      <c r="E58" s="385" t="n"/>
      <c r="F58" s="520" t="n"/>
      <c r="G58" s="520" t="n"/>
      <c r="H58" s="385" t="n"/>
    </row>
    <row r="59">
      <c r="A59" s="385" t="n"/>
      <c r="B59" s="385" t="n"/>
      <c r="C59" s="385" t="n"/>
      <c r="D59" s="385" t="n"/>
      <c r="E59" s="385" t="n"/>
      <c r="F59" s="520" t="n"/>
      <c r="G59" s="520" t="n"/>
      <c r="H59" s="385" t="n"/>
    </row>
    <row r="60">
      <c r="A60" s="385" t="n"/>
      <c r="B60" s="385" t="n"/>
      <c r="C60" s="385" t="n"/>
      <c r="D60" s="385" t="n"/>
      <c r="E60" s="385" t="n"/>
      <c r="F60" s="520" t="n"/>
      <c r="G60" s="520" t="n"/>
      <c r="H60" s="385" t="n"/>
    </row>
    <row r="61">
      <c r="A61" s="385" t="n"/>
      <c r="B61" s="385" t="n"/>
      <c r="C61" s="385" t="n"/>
      <c r="D61" s="385" t="n"/>
      <c r="E61" s="385" t="n"/>
      <c r="F61" s="520" t="n"/>
      <c r="G61" s="520" t="n"/>
      <c r="H61" s="385" t="n"/>
    </row>
    <row r="62">
      <c r="A62" s="385" t="n"/>
      <c r="B62" s="385" t="n"/>
      <c r="C62" s="385" t="n"/>
      <c r="D62" s="385" t="n"/>
      <c r="E62" s="385" t="n"/>
      <c r="F62" s="520" t="n"/>
      <c r="G62" s="520" t="n"/>
      <c r="H62" s="385" t="n"/>
    </row>
    <row r="63">
      <c r="A63" s="385" t="n"/>
      <c r="B63" s="385" t="n"/>
      <c r="C63" s="385" t="n"/>
      <c r="D63" s="385" t="n"/>
      <c r="E63" s="385" t="n"/>
      <c r="F63" s="520" t="n"/>
      <c r="G63" s="520" t="n"/>
      <c r="H63" s="385" t="n"/>
    </row>
    <row r="64">
      <c r="A64" s="385" t="n"/>
      <c r="B64" s="385" t="n"/>
      <c r="C64" s="385" t="n"/>
      <c r="D64" s="385" t="n"/>
      <c r="E64" s="385" t="n"/>
      <c r="F64" s="520" t="n"/>
      <c r="G64" s="520" t="n"/>
      <c r="H64" s="385" t="n"/>
    </row>
    <row r="65">
      <c r="A65" s="385" t="n"/>
      <c r="B65" s="385" t="n"/>
      <c r="C65" s="385" t="n"/>
      <c r="D65" s="385" t="n"/>
      <c r="E65" s="385" t="n"/>
      <c r="F65" s="520" t="n"/>
      <c r="G65" s="520" t="n"/>
      <c r="H65" s="385" t="n"/>
    </row>
    <row r="66">
      <c r="A66" s="385" t="n"/>
      <c r="B66" s="385" t="n"/>
      <c r="C66" s="385" t="n"/>
      <c r="D66" s="385" t="n"/>
      <c r="E66" s="385" t="n"/>
      <c r="F66" s="520" t="n"/>
      <c r="G66" s="520" t="n"/>
      <c r="H66" s="385" t="n"/>
    </row>
    <row r="67">
      <c r="A67" s="385" t="n"/>
      <c r="B67" s="385" t="n"/>
      <c r="C67" s="385" t="n"/>
      <c r="D67" s="385" t="n"/>
      <c r="E67" s="385" t="n"/>
      <c r="F67" s="520" t="n"/>
      <c r="G67" s="520" t="n"/>
      <c r="H67" s="385" t="n"/>
    </row>
    <row r="68">
      <c r="A68" s="385" t="n"/>
      <c r="B68" s="385" t="n"/>
      <c r="C68" s="385" t="n"/>
      <c r="D68" s="385" t="n"/>
      <c r="E68" s="385" t="n"/>
      <c r="F68" s="520" t="n"/>
      <c r="G68" s="520" t="n"/>
      <c r="H68" s="385" t="n"/>
    </row>
    <row r="69">
      <c r="A69" s="385" t="n"/>
      <c r="B69" s="385" t="n"/>
      <c r="C69" s="385" t="n"/>
      <c r="D69" s="385" t="n"/>
      <c r="E69" s="385" t="n"/>
      <c r="F69" s="520" t="n"/>
      <c r="G69" s="520" t="n"/>
      <c r="H69" s="385" t="n"/>
    </row>
    <row r="70">
      <c r="A70" s="385" t="n"/>
      <c r="B70" s="385" t="n"/>
      <c r="C70" s="385" t="n"/>
      <c r="D70" s="385" t="n"/>
      <c r="E70" s="385" t="n"/>
      <c r="F70" s="520" t="n"/>
      <c r="G70" s="520" t="n"/>
      <c r="H70" s="385" t="n"/>
    </row>
    <row r="71">
      <c r="A71" s="385" t="n"/>
      <c r="B71" s="385" t="n"/>
      <c r="C71" s="385" t="n"/>
      <c r="D71" s="385" t="n"/>
      <c r="E71" s="385" t="n"/>
      <c r="F71" s="520" t="n"/>
      <c r="G71" s="520" t="n"/>
      <c r="H71" s="385" t="n"/>
    </row>
    <row r="72">
      <c r="A72" s="385" t="n"/>
      <c r="B72" s="385" t="n"/>
      <c r="C72" s="385" t="n"/>
      <c r="D72" s="385" t="n"/>
      <c r="E72" s="385" t="n"/>
      <c r="F72" s="520" t="n"/>
      <c r="G72" s="520" t="n"/>
      <c r="H72" s="385" t="n"/>
    </row>
    <row r="73">
      <c r="A73" s="385" t="n"/>
      <c r="B73" s="385" t="n"/>
      <c r="C73" s="385" t="n"/>
      <c r="D73" s="385" t="n"/>
      <c r="E73" s="385" t="n"/>
      <c r="F73" s="520" t="n"/>
      <c r="G73" s="520" t="n"/>
      <c r="H73" s="385" t="n"/>
    </row>
    <row r="74">
      <c r="A74" s="385" t="n"/>
      <c r="B74" s="385" t="n"/>
      <c r="C74" s="385" t="n"/>
      <c r="D74" s="385" t="n"/>
      <c r="E74" s="385" t="n"/>
      <c r="F74" s="520" t="n"/>
      <c r="G74" s="520" t="n"/>
      <c r="H74" s="385" t="n"/>
    </row>
    <row r="75">
      <c r="A75" s="385" t="n"/>
      <c r="B75" s="385" t="n"/>
      <c r="C75" s="385" t="n"/>
      <c r="D75" s="385" t="n"/>
      <c r="E75" s="385" t="n"/>
      <c r="F75" s="520" t="n"/>
      <c r="G75" s="520" t="n"/>
      <c r="H75" s="385" t="n"/>
    </row>
    <row r="76">
      <c r="A76" s="385" t="n"/>
      <c r="B76" s="385" t="n"/>
      <c r="C76" s="385" t="n"/>
      <c r="D76" s="385" t="n"/>
      <c r="E76" s="385" t="n"/>
      <c r="F76" s="520" t="n"/>
      <c r="G76" s="520" t="n"/>
      <c r="H76" s="385" t="n"/>
    </row>
    <row r="77">
      <c r="A77" s="385" t="n"/>
      <c r="B77" s="385" t="n"/>
      <c r="C77" s="385" t="n"/>
      <c r="D77" s="385" t="n"/>
      <c r="E77" s="385" t="n"/>
      <c r="F77" s="520" t="n"/>
      <c r="G77" s="520" t="n"/>
      <c r="H77" s="385" t="n"/>
    </row>
    <row r="78">
      <c r="A78" s="385" t="n"/>
      <c r="B78" s="385" t="n"/>
      <c r="C78" s="385" t="n"/>
      <c r="D78" s="385" t="n"/>
      <c r="E78" s="385" t="n"/>
      <c r="F78" s="520" t="n"/>
      <c r="G78" s="520" t="n"/>
      <c r="H78" s="385" t="n"/>
    </row>
    <row r="79">
      <c r="A79" s="385" t="n"/>
      <c r="B79" s="385" t="n"/>
      <c r="C79" s="385" t="n"/>
      <c r="D79" s="385" t="n"/>
      <c r="E79" s="385" t="n"/>
      <c r="F79" s="520" t="n"/>
      <c r="G79" s="520" t="n"/>
      <c r="H79" s="385" t="n"/>
    </row>
    <row r="80">
      <c r="A80" s="385" t="n"/>
      <c r="B80" s="385" t="n"/>
      <c r="C80" s="385" t="n"/>
      <c r="D80" s="385" t="n"/>
      <c r="E80" s="385" t="n"/>
      <c r="F80" s="520" t="n"/>
      <c r="G80" s="520" t="n"/>
      <c r="H80" s="385" t="n"/>
    </row>
    <row r="81">
      <c r="A81" s="385" t="n"/>
      <c r="B81" s="385" t="n"/>
      <c r="C81" s="385" t="n"/>
      <c r="D81" s="385" t="n"/>
      <c r="E81" s="385" t="n"/>
      <c r="F81" s="520" t="n"/>
      <c r="G81" s="520" t="n"/>
      <c r="H81" s="385" t="n"/>
    </row>
    <row r="82">
      <c r="A82" s="385" t="n"/>
      <c r="B82" s="385" t="n"/>
      <c r="C82" s="385" t="n"/>
      <c r="D82" s="385" t="n"/>
      <c r="E82" s="385" t="n"/>
      <c r="F82" s="520" t="n"/>
      <c r="G82" s="520" t="n"/>
      <c r="H82" s="385" t="n"/>
    </row>
    <row r="83">
      <c r="A83" s="385" t="n"/>
      <c r="B83" s="385" t="n"/>
      <c r="C83" s="385" t="n"/>
      <c r="D83" s="385" t="n"/>
      <c r="E83" s="385" t="n"/>
      <c r="F83" s="520" t="n"/>
      <c r="G83" s="520" t="n"/>
      <c r="H83" s="385" t="n"/>
    </row>
    <row r="84">
      <c r="A84" s="385" t="n"/>
      <c r="B84" s="385" t="n"/>
      <c r="C84" s="385" t="n"/>
      <c r="D84" s="385" t="n"/>
      <c r="E84" s="385" t="n"/>
      <c r="F84" s="520" t="n"/>
      <c r="G84" s="520" t="n"/>
      <c r="H84" s="385" t="n"/>
    </row>
    <row r="85">
      <c r="A85" s="385" t="n"/>
      <c r="B85" s="385" t="n"/>
      <c r="C85" s="385" t="n"/>
      <c r="D85" s="385" t="n"/>
      <c r="E85" s="385" t="n"/>
      <c r="F85" s="520" t="n"/>
      <c r="G85" s="520" t="n"/>
      <c r="H85" s="385" t="n"/>
    </row>
    <row r="86">
      <c r="A86" s="385" t="n"/>
      <c r="B86" s="385" t="n"/>
      <c r="C86" s="385" t="n"/>
      <c r="D86" s="385" t="n"/>
      <c r="E86" s="385" t="n"/>
      <c r="F86" s="520" t="n"/>
      <c r="G86" s="520" t="n"/>
      <c r="H86" s="385" t="n"/>
    </row>
    <row r="87">
      <c r="A87" s="385" t="n"/>
      <c r="B87" s="385" t="n"/>
      <c r="C87" s="385" t="n"/>
      <c r="D87" s="385" t="n"/>
      <c r="E87" s="385" t="n"/>
      <c r="F87" s="520" t="n"/>
      <c r="G87" s="520" t="n"/>
      <c r="H87" s="385" t="n"/>
    </row>
    <row r="88">
      <c r="A88" s="385" t="n"/>
      <c r="B88" s="385" t="n"/>
      <c r="C88" s="385" t="n"/>
      <c r="D88" s="385" t="n"/>
      <c r="E88" s="385" t="n"/>
      <c r="F88" s="520" t="n"/>
      <c r="G88" s="520" t="n"/>
      <c r="H88" s="385" t="n"/>
    </row>
    <row r="89">
      <c r="A89" s="385" t="n"/>
      <c r="B89" s="385" t="n"/>
      <c r="C89" s="385" t="n"/>
      <c r="D89" s="385" t="n"/>
      <c r="E89" s="385" t="n"/>
      <c r="F89" s="520" t="n"/>
      <c r="G89" s="520" t="n"/>
      <c r="H89" s="385" t="n"/>
    </row>
    <row r="90">
      <c r="A90" s="385" t="n"/>
      <c r="B90" s="385" t="n"/>
      <c r="C90" s="385" t="n"/>
      <c r="D90" s="385" t="n"/>
      <c r="E90" s="385" t="n"/>
      <c r="F90" s="520" t="n"/>
      <c r="G90" s="520" t="n"/>
      <c r="H90" s="385" t="n"/>
    </row>
    <row r="91">
      <c r="A91" s="385" t="n"/>
      <c r="B91" s="385" t="n"/>
      <c r="C91" s="385" t="n"/>
      <c r="D91" s="385" t="n"/>
      <c r="E91" s="385" t="n"/>
      <c r="F91" s="520" t="n"/>
      <c r="G91" s="520" t="n"/>
      <c r="H91" s="385" t="n"/>
    </row>
    <row r="92">
      <c r="A92" s="385" t="n"/>
      <c r="B92" s="385" t="n"/>
      <c r="C92" s="385" t="n"/>
      <c r="D92" s="385" t="n"/>
      <c r="E92" s="385" t="n"/>
      <c r="F92" s="520" t="n"/>
      <c r="G92" s="520" t="n"/>
      <c r="H92" s="385" t="n"/>
    </row>
    <row r="93">
      <c r="A93" s="385" t="n"/>
      <c r="B93" s="385" t="n"/>
      <c r="C93" s="385" t="n"/>
      <c r="D93" s="385" t="n"/>
      <c r="E93" s="385" t="n"/>
      <c r="F93" s="520" t="n"/>
      <c r="G93" s="520" t="n"/>
      <c r="H93" s="385" t="n"/>
    </row>
    <row r="94">
      <c r="A94" s="385" t="n"/>
      <c r="B94" s="385" t="n"/>
      <c r="C94" s="385" t="n"/>
      <c r="D94" s="385" t="n"/>
      <c r="E94" s="385" t="n"/>
      <c r="F94" s="520" t="n"/>
      <c r="G94" s="520" t="n"/>
      <c r="H94" s="385" t="n"/>
    </row>
    <row r="95">
      <c r="A95" s="385" t="n"/>
      <c r="B95" s="385" t="n"/>
      <c r="C95" s="385" t="n"/>
      <c r="D95" s="385" t="n"/>
      <c r="E95" s="385" t="n"/>
      <c r="F95" s="520" t="n"/>
      <c r="G95" s="520" t="n"/>
      <c r="H95" s="385" t="n"/>
    </row>
    <row r="96">
      <c r="A96" s="385" t="n"/>
      <c r="B96" s="385" t="n"/>
      <c r="C96" s="385" t="n"/>
      <c r="D96" s="385" t="n"/>
      <c r="E96" s="385" t="n"/>
      <c r="F96" s="520" t="n"/>
      <c r="G96" s="520" t="n"/>
      <c r="H96" s="385" t="n"/>
    </row>
    <row r="97">
      <c r="A97" s="385" t="n"/>
      <c r="B97" s="385" t="n"/>
      <c r="C97" s="385" t="n"/>
      <c r="D97" s="385" t="n"/>
      <c r="E97" s="385" t="n"/>
      <c r="F97" s="520" t="n"/>
      <c r="G97" s="520" t="n"/>
      <c r="H97" s="385" t="n"/>
    </row>
    <row r="98">
      <c r="A98" s="385" t="n"/>
      <c r="B98" s="385" t="n"/>
      <c r="C98" s="385" t="n"/>
      <c r="D98" s="385" t="n"/>
      <c r="E98" s="385" t="n"/>
      <c r="F98" s="520" t="n"/>
      <c r="G98" s="520" t="n"/>
      <c r="H98" s="385" t="n"/>
    </row>
    <row r="99">
      <c r="A99" s="385" t="n"/>
      <c r="B99" s="385" t="n"/>
      <c r="C99" s="385" t="n"/>
      <c r="D99" s="385" t="n"/>
      <c r="E99" s="385" t="n"/>
      <c r="F99" s="520" t="n"/>
      <c r="G99" s="520" t="n"/>
      <c r="H99" s="385" t="n"/>
    </row>
    <row r="100">
      <c r="A100" s="385" t="n"/>
      <c r="B100" s="385" t="n"/>
      <c r="C100" s="385" t="n"/>
      <c r="D100" s="385" t="n"/>
      <c r="E100" s="385" t="n"/>
      <c r="F100" s="520" t="n"/>
      <c r="G100" s="520" t="n"/>
      <c r="H100" s="385" t="n"/>
    </row>
    <row r="101">
      <c r="A101" s="385" t="n"/>
      <c r="B101" s="385" t="n"/>
      <c r="C101" s="385" t="n"/>
      <c r="D101" s="385" t="n"/>
      <c r="E101" s="385" t="n"/>
      <c r="F101" s="520" t="n"/>
      <c r="G101" s="520" t="n"/>
      <c r="H101" s="385" t="n"/>
    </row>
    <row r="102">
      <c r="A102" s="385" t="n"/>
      <c r="B102" s="385" t="n"/>
      <c r="C102" s="385" t="n"/>
      <c r="D102" s="385" t="n"/>
      <c r="E102" s="385" t="n"/>
      <c r="F102" s="520" t="n"/>
      <c r="G102" s="520" t="n"/>
      <c r="H102" s="385" t="n"/>
    </row>
    <row r="103">
      <c r="A103" s="385" t="n"/>
      <c r="B103" s="385" t="n"/>
      <c r="C103" s="385" t="n"/>
      <c r="D103" s="385" t="n"/>
      <c r="E103" s="385" t="n"/>
      <c r="F103" s="520" t="n"/>
      <c r="G103" s="520" t="n"/>
      <c r="H103" s="385" t="n"/>
    </row>
    <row r="104">
      <c r="A104" s="385" t="n"/>
      <c r="B104" s="385" t="n"/>
      <c r="C104" s="385" t="n"/>
      <c r="D104" s="385" t="n"/>
      <c r="E104" s="385" t="n"/>
      <c r="F104" s="520" t="n"/>
      <c r="G104" s="520" t="n"/>
      <c r="H104" s="385" t="n"/>
    </row>
    <row r="105">
      <c r="A105" s="385" t="n"/>
      <c r="B105" s="385" t="n"/>
      <c r="C105" s="385" t="n"/>
      <c r="D105" s="385" t="n"/>
      <c r="E105" s="385" t="n"/>
      <c r="F105" s="520" t="n"/>
      <c r="G105" s="520" t="n"/>
      <c r="H105" s="385" t="n"/>
    </row>
    <row r="106">
      <c r="A106" s="385" t="n"/>
      <c r="B106" s="385" t="n"/>
      <c r="C106" s="385" t="n"/>
      <c r="D106" s="385" t="n"/>
      <c r="E106" s="385" t="n"/>
      <c r="F106" s="520" t="n"/>
      <c r="G106" s="520" t="n"/>
      <c r="H106" s="385" t="n"/>
    </row>
    <row r="107">
      <c r="A107" s="385" t="n"/>
      <c r="B107" s="385" t="n"/>
      <c r="C107" s="385" t="n"/>
      <c r="D107" s="385" t="n"/>
      <c r="E107" s="385" t="n"/>
      <c r="F107" s="520" t="n"/>
      <c r="G107" s="520" t="n"/>
      <c r="H107" s="385" t="n"/>
    </row>
    <row r="108">
      <c r="A108" s="385" t="n"/>
      <c r="B108" s="385" t="n"/>
      <c r="C108" s="385" t="n"/>
      <c r="D108" s="385" t="n"/>
      <c r="E108" s="385" t="n"/>
      <c r="F108" s="520" t="n"/>
      <c r="G108" s="520" t="n"/>
      <c r="H108" s="385" t="n"/>
    </row>
    <row r="109">
      <c r="A109" s="385" t="n"/>
      <c r="B109" s="385" t="n"/>
      <c r="C109" s="385" t="n"/>
      <c r="D109" s="385" t="n"/>
      <c r="E109" s="385" t="n"/>
      <c r="F109" s="520" t="n"/>
      <c r="G109" s="520" t="n"/>
      <c r="H109" s="385" t="n"/>
    </row>
    <row r="110">
      <c r="A110" s="385" t="n"/>
      <c r="B110" s="385" t="n"/>
      <c r="C110" s="385" t="n"/>
      <c r="D110" s="385" t="n"/>
      <c r="E110" s="385" t="n"/>
      <c r="F110" s="520" t="n"/>
      <c r="G110" s="520" t="n"/>
      <c r="H110" s="385" t="n"/>
    </row>
    <row r="111">
      <c r="A111" s="385" t="n"/>
      <c r="B111" s="385" t="n"/>
      <c r="C111" s="385" t="n"/>
      <c r="D111" s="385" t="n"/>
      <c r="E111" s="385" t="n"/>
      <c r="F111" s="520" t="n"/>
      <c r="G111" s="520" t="n"/>
      <c r="H111" s="385" t="n"/>
    </row>
    <row r="112">
      <c r="A112" s="385" t="n"/>
      <c r="B112" s="385" t="n"/>
      <c r="C112" s="385" t="n"/>
      <c r="D112" s="385" t="n"/>
      <c r="E112" s="385" t="n"/>
      <c r="F112" s="520" t="n"/>
      <c r="G112" s="520" t="n"/>
      <c r="H112" s="385" t="n"/>
    </row>
    <row r="113">
      <c r="A113" s="385" t="n"/>
      <c r="B113" s="385" t="n"/>
      <c r="C113" s="385" t="n"/>
      <c r="D113" s="385" t="n"/>
      <c r="E113" s="385" t="n"/>
      <c r="F113" s="520" t="n"/>
      <c r="G113" s="520" t="n"/>
      <c r="H113" s="385" t="n"/>
    </row>
    <row r="114">
      <c r="A114" s="385" t="n"/>
      <c r="B114" s="385" t="n"/>
      <c r="C114" s="385" t="n"/>
      <c r="D114" s="385" t="n"/>
      <c r="E114" s="385" t="n"/>
      <c r="F114" s="520" t="n"/>
      <c r="G114" s="520" t="n"/>
      <c r="H114" s="385" t="n"/>
    </row>
    <row r="115">
      <c r="A115" s="385" t="n"/>
      <c r="B115" s="385" t="n"/>
      <c r="C115" s="385" t="n"/>
      <c r="D115" s="385" t="n"/>
      <c r="E115" s="385" t="n"/>
      <c r="F115" s="520" t="n"/>
      <c r="G115" s="520" t="n"/>
      <c r="H115" s="385" t="n"/>
    </row>
    <row r="116">
      <c r="A116" s="385" t="n"/>
      <c r="B116" s="385" t="n"/>
      <c r="C116" s="385" t="n"/>
      <c r="D116" s="385" t="n"/>
      <c r="E116" s="385" t="n"/>
      <c r="F116" s="520" t="n"/>
      <c r="G116" s="520" t="n"/>
      <c r="H116" s="385" t="n"/>
    </row>
    <row r="117">
      <c r="A117" s="385" t="n"/>
      <c r="B117" s="385" t="n"/>
      <c r="C117" s="385" t="n"/>
      <c r="D117" s="385" t="n"/>
      <c r="E117" s="385" t="n"/>
      <c r="F117" s="520" t="n"/>
      <c r="G117" s="520" t="n"/>
      <c r="H117" s="385" t="n"/>
    </row>
    <row r="118">
      <c r="A118" s="385" t="n"/>
      <c r="B118" s="385" t="n"/>
      <c r="C118" s="385" t="n"/>
      <c r="D118" s="385" t="n"/>
      <c r="E118" s="385" t="n"/>
      <c r="F118" s="520" t="n"/>
      <c r="G118" s="520" t="n"/>
      <c r="H118" s="385" t="n"/>
    </row>
    <row r="119">
      <c r="A119" s="385" t="n"/>
      <c r="B119" s="385" t="n"/>
      <c r="C119" s="385" t="n"/>
      <c r="D119" s="385" t="n"/>
      <c r="E119" s="385" t="n"/>
      <c r="F119" s="520" t="n"/>
      <c r="G119" s="520" t="n"/>
      <c r="H119" s="385" t="n"/>
    </row>
    <row r="120">
      <c r="A120" s="385" t="n"/>
      <c r="B120" s="385" t="n"/>
      <c r="C120" s="385" t="n"/>
      <c r="D120" s="385" t="n"/>
      <c r="E120" s="385" t="n"/>
      <c r="F120" s="520" t="n"/>
      <c r="G120" s="520" t="n"/>
      <c r="H120" s="385" t="n"/>
    </row>
    <row r="121">
      <c r="A121" s="385" t="n"/>
      <c r="B121" s="385" t="n"/>
      <c r="C121" s="385" t="n"/>
      <c r="D121" s="385" t="n"/>
      <c r="E121" s="385" t="n"/>
      <c r="F121" s="520" t="n"/>
      <c r="G121" s="520" t="n"/>
      <c r="H121" s="385" t="n"/>
    </row>
    <row r="122">
      <c r="A122" s="385" t="n"/>
      <c r="B122" s="385" t="n"/>
      <c r="C122" s="385" t="n"/>
      <c r="D122" s="385" t="n"/>
      <c r="E122" s="385" t="n"/>
      <c r="F122" s="520" t="n"/>
      <c r="G122" s="520" t="n"/>
      <c r="H122" s="385" t="n"/>
    </row>
    <row r="123">
      <c r="A123" s="385" t="n"/>
      <c r="B123" s="385" t="n"/>
      <c r="C123" s="385" t="n"/>
      <c r="D123" s="385" t="n"/>
      <c r="E123" s="385" t="n"/>
      <c r="F123" s="520" t="n"/>
      <c r="G123" s="520" t="n"/>
      <c r="H123" s="385" t="n"/>
    </row>
    <row r="124">
      <c r="A124" s="385" t="n"/>
      <c r="B124" s="385" t="n"/>
      <c r="C124" s="385" t="n"/>
      <c r="D124" s="385" t="n"/>
      <c r="E124" s="385" t="n"/>
      <c r="F124" s="520" t="n"/>
      <c r="G124" s="520" t="n"/>
      <c r="H124" s="385" t="n"/>
    </row>
    <row r="125">
      <c r="A125" s="385" t="n"/>
      <c r="B125" s="385" t="n"/>
      <c r="C125" s="385" t="n"/>
      <c r="D125" s="385" t="n"/>
      <c r="E125" s="385" t="n"/>
      <c r="F125" s="520" t="n"/>
      <c r="G125" s="520" t="n"/>
      <c r="H125" s="385" t="n"/>
    </row>
    <row r="126">
      <c r="A126" s="385" t="n"/>
      <c r="B126" s="385" t="n"/>
      <c r="C126" s="385" t="n"/>
      <c r="D126" s="385" t="n"/>
      <c r="E126" s="385" t="n"/>
      <c r="F126" s="520" t="n"/>
      <c r="G126" s="520" t="n"/>
      <c r="H126" s="385" t="n"/>
    </row>
    <row r="127">
      <c r="A127" s="385" t="n"/>
      <c r="B127" s="385" t="n"/>
      <c r="C127" s="385" t="n"/>
      <c r="D127" s="385" t="n"/>
      <c r="E127" s="385" t="n"/>
      <c r="F127" s="520" t="n"/>
      <c r="G127" s="520" t="n"/>
      <c r="H127" s="385" t="n"/>
    </row>
    <row r="128">
      <c r="A128" s="385" t="n"/>
      <c r="B128" s="385" t="n"/>
      <c r="C128" s="385" t="n"/>
      <c r="D128" s="385" t="n"/>
      <c r="E128" s="385" t="n"/>
      <c r="F128" s="520" t="n"/>
      <c r="G128" s="520" t="n"/>
      <c r="H128" s="385" t="n"/>
    </row>
    <row r="129">
      <c r="A129" s="385" t="n"/>
      <c r="B129" s="385" t="n"/>
      <c r="C129" s="385" t="n"/>
      <c r="D129" s="385" t="n"/>
      <c r="E129" s="385" t="n"/>
      <c r="F129" s="520" t="n"/>
      <c r="G129" s="520" t="n"/>
      <c r="H129" s="385" t="n"/>
    </row>
    <row r="130">
      <c r="A130" s="385" t="n"/>
      <c r="B130" s="385" t="n"/>
      <c r="C130" s="385" t="n"/>
      <c r="D130" s="385" t="n"/>
      <c r="E130" s="385" t="n"/>
      <c r="F130" s="520" t="n"/>
      <c r="G130" s="520" t="n"/>
      <c r="H130" s="385" t="n"/>
    </row>
    <row r="131">
      <c r="A131" s="385" t="n"/>
      <c r="B131" s="385" t="n"/>
      <c r="C131" s="385" t="n"/>
      <c r="D131" s="385" t="n"/>
      <c r="E131" s="385" t="n"/>
      <c r="F131" s="520" t="n"/>
      <c r="G131" s="520" t="n"/>
      <c r="H131" s="385" t="n"/>
    </row>
    <row r="132">
      <c r="A132" s="385" t="n"/>
      <c r="B132" s="385" t="n"/>
      <c r="C132" s="385" t="n"/>
      <c r="D132" s="385" t="n"/>
      <c r="E132" s="385" t="n"/>
      <c r="F132" s="520" t="n"/>
      <c r="G132" s="520" t="n"/>
      <c r="H132" s="385" t="n"/>
    </row>
    <row r="133">
      <c r="A133" s="385" t="n"/>
      <c r="B133" s="385" t="n"/>
      <c r="C133" s="385" t="n"/>
      <c r="D133" s="385" t="n"/>
      <c r="E133" s="385" t="n"/>
      <c r="F133" s="520" t="n"/>
      <c r="G133" s="520" t="n"/>
      <c r="H133" s="385" t="n"/>
    </row>
    <row r="134">
      <c r="A134" s="385" t="n"/>
      <c r="B134" s="385" t="n"/>
      <c r="C134" s="385" t="n"/>
      <c r="D134" s="385" t="n"/>
      <c r="E134" s="385" t="n"/>
      <c r="F134" s="520" t="n"/>
      <c r="G134" s="520" t="n"/>
      <c r="H134" s="385" t="n"/>
    </row>
    <row r="135">
      <c r="A135" s="385" t="n"/>
      <c r="B135" s="385" t="n"/>
      <c r="C135" s="385" t="n"/>
      <c r="D135" s="385" t="n"/>
      <c r="E135" s="385" t="n"/>
      <c r="F135" s="520" t="n"/>
      <c r="G135" s="520" t="n"/>
      <c r="H135" s="385" t="n"/>
    </row>
    <row r="136">
      <c r="A136" s="385" t="n"/>
      <c r="B136" s="385" t="n"/>
      <c r="C136" s="385" t="n"/>
      <c r="D136" s="385" t="n"/>
      <c r="E136" s="385" t="n"/>
      <c r="F136" s="520" t="n"/>
      <c r="G136" s="520" t="n"/>
      <c r="H136" s="385" t="n"/>
    </row>
    <row r="137">
      <c r="A137" s="385" t="n"/>
      <c r="B137" s="385" t="n"/>
      <c r="C137" s="385" t="n"/>
      <c r="D137" s="385" t="n"/>
      <c r="E137" s="385" t="n"/>
      <c r="F137" s="520" t="n"/>
      <c r="G137" s="520" t="n"/>
      <c r="H137" s="385" t="n"/>
    </row>
    <row r="138">
      <c r="A138" s="385" t="n"/>
      <c r="B138" s="385" t="n"/>
      <c r="C138" s="385" t="n"/>
      <c r="D138" s="385" t="n"/>
      <c r="E138" s="385" t="n"/>
      <c r="F138" s="520" t="n"/>
      <c r="G138" s="520" t="n"/>
      <c r="H138" s="385" t="n"/>
    </row>
    <row r="139">
      <c r="A139" s="385" t="n"/>
      <c r="B139" s="385" t="n"/>
      <c r="C139" s="385" t="n"/>
      <c r="D139" s="385" t="n"/>
      <c r="E139" s="385" t="n"/>
      <c r="F139" s="520" t="n"/>
      <c r="G139" s="520" t="n"/>
      <c r="H139" s="385" t="n"/>
    </row>
    <row r="140">
      <c r="A140" s="385" t="n"/>
      <c r="B140" s="385" t="n"/>
      <c r="C140" s="385" t="n"/>
      <c r="D140" s="385" t="n"/>
      <c r="E140" s="385" t="n"/>
      <c r="F140" s="520" t="n"/>
      <c r="G140" s="520" t="n"/>
      <c r="H140" s="385" t="n"/>
    </row>
    <row r="141">
      <c r="A141" s="385" t="n"/>
      <c r="B141" s="385" t="n"/>
      <c r="C141" s="385" t="n"/>
      <c r="D141" s="385" t="n"/>
      <c r="E141" s="385" t="n"/>
      <c r="F141" s="520" t="n"/>
      <c r="G141" s="520" t="n"/>
      <c r="H141" s="385" t="n"/>
    </row>
    <row r="142">
      <c r="A142" s="385" t="n"/>
      <c r="B142" s="385" t="n"/>
      <c r="C142" s="385" t="n"/>
      <c r="D142" s="385" t="n"/>
      <c r="E142" s="385" t="n"/>
      <c r="F142" s="520" t="n"/>
      <c r="G142" s="520" t="n"/>
      <c r="H142" s="385" t="n"/>
    </row>
    <row r="143">
      <c r="A143" s="385" t="n"/>
      <c r="B143" s="385" t="n"/>
      <c r="C143" s="385" t="n"/>
      <c r="D143" s="385" t="n"/>
      <c r="E143" s="385" t="n"/>
      <c r="F143" s="520" t="n"/>
      <c r="G143" s="520" t="n"/>
      <c r="H143" s="385" t="n"/>
    </row>
    <row r="144">
      <c r="A144" s="385" t="n"/>
      <c r="B144" s="385" t="n"/>
      <c r="C144" s="385" t="n"/>
      <c r="D144" s="385" t="n"/>
      <c r="E144" s="385" t="n"/>
      <c r="F144" s="520" t="n"/>
      <c r="G144" s="520" t="n"/>
      <c r="H144" s="385" t="n"/>
    </row>
    <row r="145">
      <c r="A145" s="385" t="n"/>
      <c r="B145" s="385" t="n"/>
      <c r="C145" s="385" t="n"/>
      <c r="D145" s="385" t="n"/>
      <c r="E145" s="385" t="n"/>
      <c r="F145" s="520" t="n"/>
      <c r="G145" s="520" t="n"/>
      <c r="H145" s="385" t="n"/>
    </row>
    <row r="146">
      <c r="A146" s="385" t="n"/>
      <c r="B146" s="385" t="n"/>
      <c r="C146" s="385" t="n"/>
      <c r="D146" s="385" t="n"/>
      <c r="E146" s="385" t="n"/>
      <c r="F146" s="520" t="n"/>
      <c r="G146" s="520" t="n"/>
      <c r="H146" s="385" t="n"/>
    </row>
    <row r="147">
      <c r="A147" s="385" t="n"/>
      <c r="B147" s="385" t="n"/>
      <c r="C147" s="385" t="n"/>
      <c r="D147" s="385" t="n"/>
      <c r="E147" s="385" t="n"/>
      <c r="F147" s="520" t="n"/>
      <c r="G147" s="520" t="n"/>
      <c r="H147" s="385" t="n"/>
    </row>
    <row r="148">
      <c r="A148" s="385" t="n"/>
      <c r="B148" s="385" t="n"/>
      <c r="C148" s="385" t="n"/>
      <c r="D148" s="385" t="n"/>
      <c r="E148" s="385" t="n"/>
      <c r="F148" s="520" t="n"/>
      <c r="G148" s="520" t="n"/>
      <c r="H148" s="385" t="n"/>
    </row>
    <row r="149">
      <c r="A149" s="385" t="n"/>
      <c r="B149" s="385" t="n"/>
      <c r="C149" s="385" t="n"/>
      <c r="D149" s="385" t="n"/>
      <c r="E149" s="385" t="n"/>
      <c r="F149" s="520" t="n"/>
      <c r="G149" s="520" t="n"/>
      <c r="H149" s="385" t="n"/>
    </row>
    <row r="150">
      <c r="A150" s="385" t="n"/>
      <c r="B150" s="385" t="n"/>
      <c r="C150" s="385" t="n"/>
      <c r="D150" s="385" t="n"/>
      <c r="E150" s="385" t="n"/>
      <c r="F150" s="520" t="n"/>
      <c r="G150" s="520" t="n"/>
      <c r="H150" s="385" t="n"/>
    </row>
    <row r="151">
      <c r="A151" s="385" t="n"/>
      <c r="B151" s="385" t="n"/>
      <c r="C151" s="385" t="n"/>
      <c r="D151" s="385" t="n"/>
      <c r="E151" s="385" t="n"/>
      <c r="F151" s="520" t="n"/>
      <c r="G151" s="520" t="n"/>
      <c r="H151" s="385" t="n"/>
    </row>
    <row r="152">
      <c r="A152" s="385" t="n"/>
      <c r="B152" s="385" t="n"/>
      <c r="C152" s="385" t="n"/>
      <c r="D152" s="385" t="n"/>
      <c r="E152" s="385" t="n"/>
      <c r="F152" s="520" t="n"/>
      <c r="G152" s="520" t="n"/>
      <c r="H152" s="385" t="n"/>
    </row>
    <row r="153">
      <c r="A153" s="385" t="n"/>
      <c r="B153" s="385" t="n"/>
      <c r="C153" s="385" t="n"/>
      <c r="D153" s="385" t="n"/>
      <c r="E153" s="385" t="n"/>
      <c r="F153" s="520" t="n"/>
      <c r="G153" s="520" t="n"/>
      <c r="H153" s="385" t="n"/>
    </row>
    <row r="154">
      <c r="A154" s="385" t="n"/>
      <c r="B154" s="385" t="n"/>
      <c r="C154" s="385" t="n"/>
      <c r="D154" s="385" t="n"/>
      <c r="E154" s="385" t="n"/>
      <c r="F154" s="520" t="n"/>
      <c r="G154" s="520" t="n"/>
      <c r="H154" s="385" t="n"/>
    </row>
    <row r="155">
      <c r="A155" s="385" t="n"/>
      <c r="B155" s="385" t="n"/>
      <c r="C155" s="385" t="n"/>
      <c r="D155" s="385" t="n"/>
      <c r="E155" s="385" t="n"/>
      <c r="F155" s="520" t="n"/>
      <c r="G155" s="520" t="n"/>
      <c r="H155" s="385" t="n"/>
    </row>
    <row r="156">
      <c r="A156" s="385" t="n"/>
      <c r="B156" s="385" t="n"/>
      <c r="C156" s="385" t="n"/>
      <c r="D156" s="385" t="n"/>
      <c r="E156" s="385" t="n"/>
      <c r="F156" s="520" t="n"/>
      <c r="G156" s="520" t="n"/>
      <c r="H156" s="385" t="n"/>
    </row>
    <row r="157">
      <c r="A157" s="385" t="n"/>
      <c r="B157" s="385" t="n"/>
      <c r="C157" s="385" t="n"/>
      <c r="D157" s="385" t="n"/>
      <c r="E157" s="385" t="n"/>
      <c r="F157" s="520" t="n"/>
      <c r="G157" s="520" t="n"/>
      <c r="H157" s="385" t="n"/>
    </row>
    <row r="158">
      <c r="A158" s="385" t="n"/>
      <c r="B158" s="385" t="n"/>
      <c r="C158" s="385" t="n"/>
      <c r="D158" s="385" t="n"/>
      <c r="E158" s="385" t="n"/>
      <c r="F158" s="520" t="n"/>
      <c r="G158" s="520" t="n"/>
      <c r="H158" s="385" t="n"/>
    </row>
    <row r="159">
      <c r="A159" s="385" t="n"/>
      <c r="B159" s="385" t="n"/>
      <c r="C159" s="385" t="n"/>
      <c r="D159" s="385" t="n"/>
      <c r="E159" s="385" t="n"/>
      <c r="F159" s="520" t="n"/>
      <c r="G159" s="520" t="n"/>
      <c r="H159" s="385" t="n"/>
    </row>
    <row r="160">
      <c r="A160" s="385" t="n"/>
      <c r="B160" s="385" t="n"/>
      <c r="C160" s="385" t="n"/>
      <c r="D160" s="385" t="n"/>
      <c r="E160" s="385" t="n"/>
      <c r="F160" s="520" t="n"/>
      <c r="G160" s="520" t="n"/>
      <c r="H160" s="385" t="n"/>
    </row>
    <row r="161">
      <c r="A161" s="385" t="n"/>
      <c r="B161" s="385" t="n"/>
      <c r="C161" s="385" t="n"/>
      <c r="D161" s="385" t="n"/>
      <c r="E161" s="385" t="n"/>
      <c r="F161" s="520" t="n"/>
      <c r="G161" s="520" t="n"/>
      <c r="H161" s="385" t="n"/>
    </row>
    <row r="162">
      <c r="A162" s="385" t="n"/>
      <c r="B162" s="385" t="n"/>
      <c r="C162" s="385" t="n"/>
      <c r="D162" s="385" t="n"/>
      <c r="E162" s="385" t="n"/>
      <c r="F162" s="520" t="n"/>
      <c r="G162" s="520" t="n"/>
      <c r="H162" s="385" t="n"/>
    </row>
    <row r="163">
      <c r="A163" s="385" t="n"/>
      <c r="B163" s="385" t="n"/>
      <c r="C163" s="385" t="n"/>
      <c r="D163" s="385" t="n"/>
      <c r="E163" s="385" t="n"/>
      <c r="F163" s="520" t="n"/>
      <c r="G163" s="520" t="n"/>
      <c r="H163" s="385" t="n"/>
    </row>
    <row r="164">
      <c r="A164" s="385" t="n"/>
      <c r="B164" s="385" t="n"/>
      <c r="C164" s="385" t="n"/>
      <c r="D164" s="385" t="n"/>
      <c r="E164" s="385" t="n"/>
      <c r="F164" s="520" t="n"/>
      <c r="G164" s="520" t="n"/>
      <c r="H164" s="385" t="n"/>
    </row>
    <row r="165">
      <c r="A165" s="385" t="n"/>
      <c r="B165" s="385" t="n"/>
      <c r="C165" s="385" t="n"/>
      <c r="D165" s="385" t="n"/>
      <c r="E165" s="385" t="n"/>
      <c r="F165" s="520" t="n"/>
      <c r="G165" s="520" t="n"/>
      <c r="H165" s="385" t="n"/>
    </row>
    <row r="166">
      <c r="A166" s="385" t="n"/>
      <c r="B166" s="385" t="n"/>
      <c r="C166" s="385" t="n"/>
      <c r="D166" s="385" t="n"/>
      <c r="E166" s="385" t="n"/>
      <c r="F166" s="520" t="n"/>
      <c r="G166" s="520" t="n"/>
      <c r="H166" s="385" t="n"/>
    </row>
    <row r="167">
      <c r="A167" s="385" t="n"/>
      <c r="B167" s="385" t="n"/>
      <c r="C167" s="385" t="n"/>
      <c r="D167" s="385" t="n"/>
      <c r="E167" s="385" t="n"/>
      <c r="F167" s="520" t="n"/>
      <c r="G167" s="520" t="n"/>
      <c r="H167" s="385" t="n"/>
    </row>
    <row r="168">
      <c r="A168" s="385" t="n"/>
      <c r="B168" s="385" t="n"/>
      <c r="C168" s="385" t="n"/>
      <c r="D168" s="385" t="n"/>
      <c r="E168" s="385" t="n"/>
      <c r="F168" s="520" t="n"/>
      <c r="G168" s="520" t="n"/>
      <c r="H168" s="385" t="n"/>
    </row>
    <row r="169">
      <c r="A169" s="385" t="n"/>
      <c r="B169" s="385" t="n"/>
      <c r="C169" s="385" t="n"/>
      <c r="D169" s="385" t="n"/>
      <c r="E169" s="385" t="n"/>
      <c r="F169" s="520" t="n"/>
      <c r="G169" s="520" t="n"/>
      <c r="H169" s="385" t="n"/>
    </row>
    <row r="170">
      <c r="A170" s="385" t="n"/>
      <c r="B170" s="385" t="n"/>
      <c r="C170" s="385" t="n"/>
      <c r="D170" s="385" t="n"/>
      <c r="E170" s="385" t="n"/>
      <c r="F170" s="520" t="n"/>
      <c r="G170" s="520" t="n"/>
      <c r="H170" s="385" t="n"/>
    </row>
    <row r="171">
      <c r="A171" s="385" t="n"/>
      <c r="B171" s="385" t="n"/>
      <c r="C171" s="385" t="n"/>
      <c r="D171" s="385" t="n"/>
      <c r="E171" s="385" t="n"/>
      <c r="F171" s="520" t="n"/>
      <c r="G171" s="520" t="n"/>
      <c r="H171" s="385" t="n"/>
    </row>
    <row r="172">
      <c r="A172" s="385" t="n"/>
      <c r="B172" s="385" t="n"/>
      <c r="C172" s="385" t="n"/>
      <c r="D172" s="385" t="n"/>
      <c r="E172" s="385" t="n"/>
      <c r="F172" s="520" t="n"/>
      <c r="G172" s="520" t="n"/>
      <c r="H172" s="385" t="n"/>
    </row>
    <row r="173">
      <c r="A173" s="385" t="n"/>
      <c r="B173" s="385" t="n"/>
      <c r="C173" s="385" t="n"/>
      <c r="D173" s="385" t="n"/>
      <c r="E173" s="385" t="n"/>
      <c r="F173" s="520" t="n"/>
      <c r="G173" s="520" t="n"/>
      <c r="H173" s="385" t="n"/>
    </row>
    <row r="174">
      <c r="A174" s="385" t="n"/>
      <c r="B174" s="385" t="n"/>
      <c r="C174" s="385" t="n"/>
      <c r="D174" s="385" t="n"/>
      <c r="E174" s="385" t="n"/>
      <c r="F174" s="520" t="n"/>
      <c r="G174" s="520" t="n"/>
      <c r="H174" s="385" t="n"/>
    </row>
    <row r="175">
      <c r="A175" s="385" t="n"/>
      <c r="B175" s="385" t="n"/>
      <c r="C175" s="385" t="n"/>
      <c r="D175" s="385" t="n"/>
      <c r="E175" s="385" t="n"/>
      <c r="F175" s="520" t="n"/>
      <c r="G175" s="520" t="n"/>
      <c r="H175" s="385" t="n"/>
    </row>
    <row r="176">
      <c r="A176" s="385" t="n"/>
      <c r="B176" s="385" t="n"/>
      <c r="C176" s="385" t="n"/>
      <c r="D176" s="385" t="n"/>
      <c r="E176" s="385" t="n"/>
      <c r="F176" s="520" t="n"/>
      <c r="G176" s="520" t="n"/>
      <c r="H176" s="385" t="n"/>
    </row>
    <row r="177">
      <c r="A177" s="385" t="n"/>
      <c r="B177" s="385" t="n"/>
      <c r="C177" s="385" t="n"/>
      <c r="D177" s="385" t="n"/>
      <c r="E177" s="385" t="n"/>
      <c r="F177" s="520" t="n"/>
      <c r="G177" s="520" t="n"/>
      <c r="H177" s="385" t="n"/>
    </row>
    <row r="178">
      <c r="A178" s="385" t="n"/>
      <c r="B178" s="385" t="n"/>
      <c r="C178" s="385" t="n"/>
      <c r="D178" s="385" t="n"/>
      <c r="E178" s="385" t="n"/>
      <c r="F178" s="520" t="n"/>
      <c r="G178" s="520" t="n"/>
      <c r="H178" s="385" t="n"/>
    </row>
    <row r="179">
      <c r="A179" s="385" t="n"/>
      <c r="B179" s="385" t="n"/>
      <c r="C179" s="385" t="n"/>
      <c r="D179" s="385" t="n"/>
      <c r="E179" s="385" t="n"/>
      <c r="F179" s="520" t="n"/>
      <c r="G179" s="520" t="n"/>
      <c r="H179" s="385" t="n"/>
    </row>
    <row r="180">
      <c r="A180" s="385" t="n"/>
      <c r="B180" s="385" t="n"/>
      <c r="C180" s="385" t="n"/>
      <c r="D180" s="385" t="n"/>
      <c r="E180" s="385" t="n"/>
      <c r="F180" s="520" t="n"/>
      <c r="G180" s="520" t="n"/>
      <c r="H180" s="385" t="n"/>
    </row>
    <row r="181">
      <c r="A181" s="385" t="n"/>
      <c r="B181" s="385" t="n"/>
      <c r="C181" s="385" t="n"/>
      <c r="D181" s="385" t="n"/>
      <c r="E181" s="385" t="n"/>
      <c r="F181" s="520" t="n"/>
      <c r="G181" s="520" t="n"/>
      <c r="H181" s="385" t="n"/>
    </row>
    <row r="182">
      <c r="A182" s="385" t="n"/>
      <c r="B182" s="385" t="n"/>
      <c r="C182" s="385" t="n"/>
      <c r="D182" s="385" t="n"/>
      <c r="E182" s="385" t="n"/>
      <c r="F182" s="520" t="n"/>
      <c r="G182" s="520" t="n"/>
      <c r="H182" s="385" t="n"/>
    </row>
    <row r="183">
      <c r="A183" s="385" t="n"/>
      <c r="B183" s="385" t="n"/>
      <c r="C183" s="385" t="n"/>
      <c r="D183" s="385" t="n"/>
      <c r="E183" s="385" t="n"/>
      <c r="F183" s="520" t="n"/>
      <c r="G183" s="520" t="n"/>
      <c r="H183" s="385" t="n"/>
    </row>
    <row r="184">
      <c r="A184" s="385" t="n"/>
      <c r="B184" s="385" t="n"/>
      <c r="C184" s="385" t="n"/>
      <c r="D184" s="385" t="n"/>
      <c r="E184" s="385" t="n"/>
      <c r="F184" s="520" t="n"/>
      <c r="G184" s="520" t="n"/>
      <c r="H184" s="385" t="n"/>
    </row>
    <row r="185">
      <c r="A185" s="385" t="n"/>
      <c r="B185" s="385" t="n"/>
      <c r="C185" s="385" t="n"/>
      <c r="D185" s="385" t="n"/>
      <c r="E185" s="385" t="n"/>
      <c r="F185" s="520" t="n"/>
      <c r="G185" s="520" t="n"/>
      <c r="H185" s="385" t="n"/>
    </row>
    <row r="186">
      <c r="A186" s="385" t="n"/>
      <c r="B186" s="385" t="n"/>
      <c r="C186" s="385" t="n"/>
      <c r="D186" s="385" t="n"/>
      <c r="E186" s="385" t="n"/>
      <c r="F186" s="520" t="n"/>
      <c r="G186" s="520" t="n"/>
      <c r="H186" s="385" t="n"/>
    </row>
    <row r="187">
      <c r="A187" s="385" t="n"/>
      <c r="B187" s="385" t="n"/>
      <c r="C187" s="385" t="n"/>
      <c r="D187" s="385" t="n"/>
      <c r="E187" s="385" t="n"/>
      <c r="F187" s="520" t="n"/>
      <c r="G187" s="520" t="n"/>
      <c r="H187" s="385" t="n"/>
    </row>
    <row r="188">
      <c r="A188" s="385" t="n"/>
      <c r="B188" s="385" t="n"/>
      <c r="C188" s="385" t="n"/>
      <c r="D188" s="385" t="n"/>
      <c r="E188" s="385" t="n"/>
      <c r="F188" s="520" t="n"/>
      <c r="G188" s="520" t="n"/>
      <c r="H188" s="385" t="n"/>
    </row>
    <row r="189">
      <c r="A189" s="385" t="n"/>
      <c r="B189" s="385" t="n"/>
      <c r="C189" s="385" t="n"/>
      <c r="D189" s="385" t="n"/>
      <c r="E189" s="385" t="n"/>
      <c r="F189" s="520" t="n"/>
      <c r="G189" s="520" t="n"/>
      <c r="H189" s="385" t="n"/>
    </row>
    <row r="190">
      <c r="A190" s="385" t="n"/>
      <c r="B190" s="385" t="n"/>
      <c r="C190" s="385" t="n"/>
      <c r="D190" s="385" t="n"/>
      <c r="E190" s="385" t="n"/>
      <c r="F190" s="520" t="n"/>
      <c r="G190" s="520" t="n"/>
      <c r="H190" s="385" t="n"/>
    </row>
    <row r="191">
      <c r="A191" s="385" t="n"/>
      <c r="B191" s="385" t="n"/>
      <c r="C191" s="385" t="n"/>
      <c r="D191" s="385" t="n"/>
      <c r="E191" s="385" t="n"/>
      <c r="F191" s="520" t="n"/>
      <c r="G191" s="520" t="n"/>
      <c r="H191" s="385" t="n"/>
    </row>
    <row r="192">
      <c r="A192" s="385" t="n"/>
      <c r="B192" s="385" t="n"/>
      <c r="C192" s="385" t="n"/>
      <c r="D192" s="385" t="n"/>
      <c r="E192" s="385" t="n"/>
      <c r="F192" s="520" t="n"/>
      <c r="G192" s="520" t="n"/>
      <c r="H192" s="385" t="n"/>
    </row>
    <row r="193">
      <c r="A193" s="385" t="n"/>
      <c r="B193" s="385" t="n"/>
      <c r="C193" s="385" t="n"/>
      <c r="D193" s="385" t="n"/>
      <c r="E193" s="385" t="n"/>
      <c r="F193" s="520" t="n"/>
      <c r="G193" s="520" t="n"/>
      <c r="H193" s="385" t="n"/>
    </row>
    <row r="194">
      <c r="A194" s="385" t="n"/>
      <c r="B194" s="385" t="n"/>
      <c r="C194" s="385" t="n"/>
      <c r="D194" s="385" t="n"/>
      <c r="E194" s="385" t="n"/>
      <c r="F194" s="520" t="n"/>
      <c r="G194" s="520" t="n"/>
      <c r="H194" s="385" t="n"/>
    </row>
    <row r="195">
      <c r="A195" s="385" t="n"/>
      <c r="B195" s="385" t="n"/>
      <c r="C195" s="385" t="n"/>
      <c r="D195" s="385" t="n"/>
      <c r="E195" s="385" t="n"/>
      <c r="F195" s="520" t="n"/>
      <c r="G195" s="520" t="n"/>
      <c r="H195" s="385" t="n"/>
    </row>
    <row r="196">
      <c r="A196" s="385" t="n"/>
      <c r="B196" s="385" t="n"/>
      <c r="C196" s="385" t="n"/>
      <c r="D196" s="385" t="n"/>
      <c r="E196" s="385" t="n"/>
      <c r="F196" s="520" t="n"/>
      <c r="G196" s="520" t="n"/>
      <c r="H196" s="385" t="n"/>
    </row>
    <row r="197">
      <c r="A197" s="385" t="n"/>
      <c r="B197" s="385" t="n"/>
      <c r="C197" s="385" t="n"/>
      <c r="D197" s="385" t="n"/>
      <c r="E197" s="385" t="n"/>
      <c r="F197" s="520" t="n"/>
      <c r="G197" s="520" t="n"/>
      <c r="H197" s="385" t="n"/>
    </row>
    <row r="198">
      <c r="A198" s="385" t="n"/>
      <c r="B198" s="385" t="n"/>
      <c r="C198" s="385" t="n"/>
      <c r="D198" s="385" t="n"/>
      <c r="E198" s="385" t="n"/>
      <c r="F198" s="520" t="n"/>
      <c r="G198" s="520" t="n"/>
      <c r="H198" s="385" t="n"/>
    </row>
    <row r="199">
      <c r="A199" s="385" t="n"/>
      <c r="B199" s="385" t="n"/>
      <c r="C199" s="385" t="n"/>
      <c r="D199" s="385" t="n"/>
      <c r="E199" s="385" t="n"/>
      <c r="F199" s="520" t="n"/>
      <c r="G199" s="520" t="n"/>
      <c r="H199" s="385" t="n"/>
    </row>
    <row r="200">
      <c r="A200" s="385" t="n"/>
      <c r="B200" s="385" t="n"/>
      <c r="C200" s="385" t="n"/>
      <c r="D200" s="385" t="n"/>
      <c r="E200" s="385" t="n"/>
      <c r="F200" s="520" t="n"/>
      <c r="G200" s="520" t="n"/>
      <c r="H200" s="385" t="n"/>
    </row>
    <row r="201">
      <c r="A201" s="385" t="n"/>
      <c r="B201" s="385" t="n"/>
      <c r="C201" s="385" t="n"/>
      <c r="D201" s="385" t="n"/>
      <c r="E201" s="385" t="n"/>
      <c r="F201" s="520" t="n"/>
      <c r="G201" s="520" t="n"/>
      <c r="H201" s="385" t="n"/>
    </row>
    <row r="202">
      <c r="A202" s="385" t="n"/>
      <c r="B202" s="385" t="n"/>
      <c r="C202" s="385" t="n"/>
      <c r="D202" s="385" t="n"/>
      <c r="E202" s="385" t="n"/>
      <c r="F202" s="520" t="n"/>
      <c r="G202" s="520" t="n"/>
      <c r="H202" s="385" t="n"/>
    </row>
    <row r="203">
      <c r="A203" s="385" t="n"/>
      <c r="B203" s="385" t="n"/>
      <c r="C203" s="385" t="n"/>
      <c r="D203" s="385" t="n"/>
      <c r="E203" s="385" t="n"/>
      <c r="F203" s="520" t="n"/>
      <c r="G203" s="520" t="n"/>
      <c r="H203" s="385" t="n"/>
    </row>
    <row r="204">
      <c r="A204" s="385" t="n"/>
      <c r="B204" s="385" t="n"/>
      <c r="C204" s="385" t="n"/>
      <c r="D204" s="385" t="n"/>
      <c r="E204" s="385" t="n"/>
      <c r="F204" s="520" t="n"/>
      <c r="G204" s="520" t="n"/>
      <c r="H204" s="385" t="n"/>
    </row>
    <row r="205">
      <c r="A205" s="385" t="n"/>
      <c r="B205" s="385" t="n"/>
      <c r="C205" s="385" t="n"/>
      <c r="D205" s="385" t="n"/>
      <c r="E205" s="385" t="n"/>
      <c r="F205" s="520" t="n"/>
      <c r="G205" s="520" t="n"/>
      <c r="H205" s="385" t="n"/>
    </row>
    <row r="206">
      <c r="A206" s="385" t="n"/>
      <c r="B206" s="385" t="n"/>
      <c r="C206" s="385" t="n"/>
      <c r="D206" s="385" t="n"/>
      <c r="E206" s="385" t="n"/>
      <c r="F206" s="520" t="n"/>
      <c r="G206" s="520" t="n"/>
      <c r="H206" s="385" t="n"/>
    </row>
    <row r="207">
      <c r="A207" s="385" t="n"/>
      <c r="B207" s="385" t="n"/>
      <c r="C207" s="385" t="n"/>
      <c r="D207" s="385" t="n"/>
      <c r="E207" s="385" t="n"/>
      <c r="F207" s="520" t="n"/>
      <c r="G207" s="520" t="n"/>
      <c r="H207" s="385" t="n"/>
    </row>
    <row r="208">
      <c r="A208" s="385" t="n"/>
      <c r="B208" s="385" t="n"/>
      <c r="C208" s="385" t="n"/>
      <c r="D208" s="385" t="n"/>
      <c r="E208" s="385" t="n"/>
      <c r="F208" s="520" t="n"/>
      <c r="G208" s="520" t="n"/>
      <c r="H208" s="385" t="n"/>
    </row>
    <row r="209">
      <c r="A209" s="385" t="n"/>
      <c r="B209" s="385" t="n"/>
      <c r="C209" s="385" t="n"/>
      <c r="D209" s="385" t="n"/>
      <c r="E209" s="385" t="n"/>
      <c r="F209" s="520" t="n"/>
      <c r="G209" s="520" t="n"/>
      <c r="H209" s="385" t="n"/>
    </row>
    <row r="210">
      <c r="A210" s="385" t="n"/>
      <c r="B210" s="385" t="n"/>
      <c r="C210" s="385" t="n"/>
      <c r="D210" s="385" t="n"/>
      <c r="E210" s="385" t="n"/>
      <c r="F210" s="520" t="n"/>
      <c r="G210" s="520" t="n"/>
      <c r="H210" s="385" t="n"/>
    </row>
    <row r="211">
      <c r="A211" s="385" t="n"/>
      <c r="B211" s="385" t="n"/>
      <c r="C211" s="385" t="n"/>
      <c r="D211" s="385" t="n"/>
      <c r="E211" s="385" t="n"/>
      <c r="F211" s="520" t="n"/>
      <c r="G211" s="520" t="n"/>
      <c r="H211" s="385" t="n"/>
    </row>
    <row r="212">
      <c r="A212" s="385" t="n"/>
      <c r="B212" s="385" t="n"/>
      <c r="C212" s="385" t="n"/>
      <c r="D212" s="385" t="n"/>
      <c r="E212" s="385" t="n"/>
      <c r="F212" s="520" t="n"/>
      <c r="G212" s="520" t="n"/>
      <c r="H212" s="385" t="n"/>
    </row>
    <row r="213">
      <c r="A213" s="385" t="n"/>
      <c r="B213" s="385" t="n"/>
      <c r="C213" s="385" t="n"/>
      <c r="D213" s="385" t="n"/>
      <c r="E213" s="385" t="n"/>
      <c r="F213" s="520" t="n"/>
      <c r="G213" s="520" t="n"/>
      <c r="H213" s="385" t="n"/>
    </row>
    <row r="214">
      <c r="A214" s="385" t="n"/>
      <c r="B214" s="385" t="n"/>
      <c r="C214" s="385" t="n"/>
      <c r="D214" s="385" t="n"/>
      <c r="E214" s="385" t="n"/>
      <c r="F214" s="520" t="n"/>
      <c r="G214" s="520" t="n"/>
      <c r="H214" s="385" t="n"/>
    </row>
    <row r="215">
      <c r="A215" s="385" t="n"/>
      <c r="B215" s="385" t="n"/>
      <c r="C215" s="385" t="n"/>
      <c r="D215" s="385" t="n"/>
      <c r="E215" s="385" t="n"/>
      <c r="F215" s="520" t="n"/>
      <c r="G215" s="520" t="n"/>
      <c r="H215" s="385" t="n"/>
    </row>
    <row r="216">
      <c r="A216" s="385" t="n"/>
      <c r="B216" s="385" t="n"/>
      <c r="C216" s="385" t="n"/>
      <c r="D216" s="385" t="n"/>
      <c r="E216" s="385" t="n"/>
      <c r="F216" s="520" t="n"/>
      <c r="G216" s="520" t="n"/>
      <c r="H216" s="385" t="n"/>
    </row>
    <row r="217">
      <c r="A217" s="385" t="n"/>
      <c r="B217" s="385" t="n"/>
      <c r="C217" s="385" t="n"/>
      <c r="D217" s="385" t="n"/>
      <c r="E217" s="385" t="n"/>
      <c r="F217" s="520" t="n"/>
      <c r="G217" s="520" t="n"/>
      <c r="H217" s="385" t="n"/>
    </row>
    <row r="218">
      <c r="A218" s="385" t="n"/>
      <c r="B218" s="385" t="n"/>
      <c r="C218" s="385" t="n"/>
      <c r="D218" s="385" t="n"/>
      <c r="E218" s="385" t="n"/>
      <c r="F218" s="520" t="n"/>
      <c r="G218" s="520" t="n"/>
      <c r="H218" s="385" t="n"/>
    </row>
    <row r="219">
      <c r="A219" s="385" t="n"/>
      <c r="B219" s="385" t="n"/>
      <c r="C219" s="385" t="n"/>
      <c r="D219" s="385" t="n"/>
      <c r="E219" s="385" t="n"/>
      <c r="F219" s="520" t="n"/>
      <c r="G219" s="520" t="n"/>
      <c r="H219" s="385" t="n"/>
    </row>
    <row r="220">
      <c r="A220" s="385" t="n"/>
      <c r="B220" s="385" t="n"/>
      <c r="C220" s="385" t="n"/>
      <c r="D220" s="385" t="n"/>
      <c r="E220" s="385" t="n"/>
      <c r="F220" s="520" t="n"/>
      <c r="G220" s="520" t="n"/>
      <c r="H220" s="385" t="n"/>
    </row>
    <row r="221">
      <c r="A221" s="385" t="n"/>
      <c r="B221" s="385" t="n"/>
      <c r="C221" s="385" t="n"/>
      <c r="D221" s="385" t="n"/>
      <c r="E221" s="385" t="n"/>
      <c r="F221" s="520" t="n"/>
      <c r="G221" s="520" t="n"/>
      <c r="H221" s="385" t="n"/>
    </row>
    <row r="222">
      <c r="A222" s="385" t="n"/>
      <c r="B222" s="385" t="n"/>
      <c r="C222" s="385" t="n"/>
      <c r="D222" s="385" t="n"/>
      <c r="E222" s="385" t="n"/>
      <c r="F222" s="520" t="n"/>
      <c r="G222" s="520" t="n"/>
      <c r="H222" s="385" t="n"/>
    </row>
    <row r="223">
      <c r="A223" s="385" t="n"/>
      <c r="B223" s="385" t="n"/>
      <c r="C223" s="385" t="n"/>
      <c r="D223" s="385" t="n"/>
      <c r="E223" s="385" t="n"/>
      <c r="F223" s="520" t="n"/>
      <c r="G223" s="520" t="n"/>
      <c r="H223" s="385" t="n"/>
    </row>
    <row r="224">
      <c r="A224" s="385" t="n"/>
      <c r="B224" s="385" t="n"/>
      <c r="C224" s="385" t="n"/>
      <c r="D224" s="385" t="n"/>
      <c r="E224" s="385" t="n"/>
      <c r="F224" s="520" t="n"/>
      <c r="G224" s="520" t="n"/>
      <c r="H224" s="385" t="n"/>
    </row>
    <row r="225">
      <c r="A225" s="385" t="n"/>
      <c r="B225" s="385" t="n"/>
      <c r="C225" s="385" t="n"/>
      <c r="D225" s="385" t="n"/>
      <c r="E225" s="385" t="n"/>
      <c r="F225" s="520" t="n"/>
      <c r="G225" s="520" t="n"/>
      <c r="H225" s="385" t="n"/>
    </row>
    <row r="226">
      <c r="A226" s="385" t="n"/>
      <c r="B226" s="385" t="n"/>
      <c r="C226" s="385" t="n"/>
      <c r="D226" s="385" t="n"/>
      <c r="E226" s="385" t="n"/>
      <c r="F226" s="520" t="n"/>
      <c r="G226" s="520" t="n"/>
      <c r="H226" s="385" t="n"/>
    </row>
    <row r="227">
      <c r="A227" s="385" t="n"/>
      <c r="B227" s="385" t="n"/>
      <c r="C227" s="385" t="n"/>
      <c r="D227" s="385" t="n"/>
      <c r="E227" s="385" t="n"/>
      <c r="F227" s="520" t="n"/>
      <c r="G227" s="520" t="n"/>
      <c r="H227" s="385" t="n"/>
    </row>
    <row r="228">
      <c r="A228" s="385" t="n"/>
      <c r="B228" s="385" t="n"/>
      <c r="C228" s="385" t="n"/>
      <c r="D228" s="385" t="n"/>
      <c r="E228" s="385" t="n"/>
      <c r="F228" s="520" t="n"/>
      <c r="G228" s="520" t="n"/>
      <c r="H228" s="385" t="n"/>
    </row>
    <row r="229">
      <c r="A229" s="385" t="n"/>
      <c r="B229" s="385" t="n"/>
      <c r="C229" s="385" t="n"/>
      <c r="D229" s="385" t="n"/>
      <c r="E229" s="385" t="n"/>
      <c r="F229" s="520" t="n"/>
      <c r="G229" s="520" t="n"/>
      <c r="H229" s="385" t="n"/>
    </row>
    <row r="230">
      <c r="A230" s="385" t="n"/>
      <c r="B230" s="385" t="n"/>
      <c r="C230" s="385" t="n"/>
      <c r="D230" s="385" t="n"/>
      <c r="E230" s="385" t="n"/>
      <c r="F230" s="520" t="n"/>
      <c r="G230" s="520" t="n"/>
      <c r="H230" s="385" t="n"/>
    </row>
    <row r="231">
      <c r="A231" s="385" t="n"/>
      <c r="B231" s="385" t="n"/>
      <c r="C231" s="385" t="n"/>
      <c r="D231" s="385" t="n"/>
      <c r="E231" s="385" t="n"/>
      <c r="F231" s="520" t="n"/>
      <c r="G231" s="520" t="n"/>
      <c r="H231" s="385" t="n"/>
    </row>
    <row r="232">
      <c r="A232" s="385" t="n"/>
      <c r="B232" s="385" t="n"/>
      <c r="C232" s="385" t="n"/>
      <c r="D232" s="385" t="n"/>
      <c r="E232" s="385" t="n"/>
      <c r="F232" s="520" t="n"/>
      <c r="G232" s="520" t="n"/>
      <c r="H232" s="385" t="n"/>
    </row>
    <row r="233">
      <c r="A233" s="385" t="n"/>
      <c r="B233" s="385" t="n"/>
      <c r="C233" s="385" t="n"/>
      <c r="D233" s="385" t="n"/>
      <c r="E233" s="385" t="n"/>
      <c r="F233" s="520" t="n"/>
      <c r="G233" s="520" t="n"/>
      <c r="H233" s="385" t="n"/>
    </row>
    <row r="234">
      <c r="A234" s="385" t="n"/>
      <c r="B234" s="385" t="n"/>
      <c r="C234" s="385" t="n"/>
      <c r="D234" s="385" t="n"/>
      <c r="E234" s="385" t="n"/>
      <c r="F234" s="520" t="n"/>
      <c r="G234" s="520" t="n"/>
      <c r="H234" s="385" t="n"/>
    </row>
    <row r="235">
      <c r="A235" s="385" t="n"/>
      <c r="B235" s="385" t="n"/>
      <c r="C235" s="385" t="n"/>
      <c r="D235" s="385" t="n"/>
      <c r="E235" s="385" t="n"/>
      <c r="F235" s="520" t="n"/>
      <c r="G235" s="520" t="n"/>
      <c r="H235" s="385" t="n"/>
    </row>
    <row r="236">
      <c r="A236" s="385" t="n"/>
      <c r="B236" s="385" t="n"/>
      <c r="C236" s="385" t="n"/>
      <c r="D236" s="385" t="n"/>
      <c r="E236" s="385" t="n"/>
      <c r="F236" s="520" t="n"/>
      <c r="G236" s="520" t="n"/>
      <c r="H236" s="385" t="n"/>
    </row>
    <row r="237">
      <c r="A237" s="385" t="n"/>
      <c r="B237" s="385" t="n"/>
      <c r="C237" s="385" t="n"/>
      <c r="D237" s="385" t="n"/>
      <c r="E237" s="385" t="n"/>
      <c r="F237" s="520" t="n"/>
      <c r="G237" s="520" t="n"/>
      <c r="H237" s="385" t="n"/>
    </row>
    <row r="238">
      <c r="A238" s="385" t="n"/>
      <c r="B238" s="385" t="n"/>
      <c r="C238" s="385" t="n"/>
      <c r="D238" s="385" t="n"/>
      <c r="E238" s="385" t="n"/>
      <c r="F238" s="520" t="n"/>
      <c r="G238" s="520" t="n"/>
      <c r="H238" s="385" t="n"/>
    </row>
    <row r="239">
      <c r="A239" s="385" t="n"/>
      <c r="B239" s="385" t="n"/>
      <c r="C239" s="385" t="n"/>
      <c r="D239" s="385" t="n"/>
      <c r="E239" s="385" t="n"/>
      <c r="F239" s="520" t="n"/>
      <c r="G239" s="520" t="n"/>
      <c r="H239" s="385" t="n"/>
    </row>
    <row r="240">
      <c r="A240" s="385" t="n"/>
      <c r="B240" s="385" t="n"/>
      <c r="C240" s="385" t="n"/>
      <c r="D240" s="385" t="n"/>
      <c r="E240" s="385" t="n"/>
      <c r="F240" s="520" t="n"/>
      <c r="G240" s="520" t="n"/>
      <c r="H240" s="385" t="n"/>
    </row>
    <row r="241">
      <c r="A241" s="385" t="n"/>
      <c r="B241" s="385" t="n"/>
      <c r="C241" s="385" t="n"/>
      <c r="D241" s="385" t="n"/>
      <c r="E241" s="385" t="n"/>
      <c r="F241" s="520" t="n"/>
      <c r="G241" s="520" t="n"/>
      <c r="H241" s="385" t="n"/>
    </row>
    <row r="242">
      <c r="A242" s="385" t="n"/>
      <c r="B242" s="385" t="n"/>
      <c r="C242" s="385" t="n"/>
      <c r="D242" s="385" t="n"/>
      <c r="E242" s="385" t="n"/>
      <c r="F242" s="520" t="n"/>
      <c r="G242" s="520" t="n"/>
      <c r="H242" s="385" t="n"/>
    </row>
    <row r="243">
      <c r="A243" s="385" t="n"/>
      <c r="B243" s="385" t="n"/>
      <c r="C243" s="385" t="n"/>
      <c r="D243" s="385" t="n"/>
      <c r="E243" s="385" t="n"/>
      <c r="F243" s="520" t="n"/>
      <c r="G243" s="520" t="n"/>
      <c r="H243" s="385" t="n"/>
    </row>
    <row r="244">
      <c r="A244" s="385" t="n"/>
      <c r="B244" s="385" t="n"/>
      <c r="C244" s="385" t="n"/>
      <c r="D244" s="385" t="n"/>
      <c r="E244" s="385" t="n"/>
      <c r="F244" s="520" t="n"/>
      <c r="G244" s="520" t="n"/>
      <c r="H244" s="385" t="n"/>
    </row>
    <row r="245">
      <c r="A245" s="385" t="n"/>
      <c r="B245" s="385" t="n"/>
      <c r="C245" s="385" t="n"/>
      <c r="D245" s="385" t="n"/>
      <c r="E245" s="385" t="n"/>
      <c r="F245" s="520" t="n"/>
      <c r="G245" s="520" t="n"/>
      <c r="H245" s="385" t="n"/>
    </row>
    <row r="246">
      <c r="A246" s="385" t="n"/>
      <c r="B246" s="385" t="n"/>
      <c r="C246" s="385" t="n"/>
      <c r="D246" s="385" t="n"/>
      <c r="E246" s="385" t="n"/>
      <c r="F246" s="520" t="n"/>
      <c r="G246" s="520" t="n"/>
      <c r="H246" s="385" t="n"/>
    </row>
    <row r="247">
      <c r="A247" s="385" t="n"/>
      <c r="B247" s="385" t="n"/>
      <c r="C247" s="385" t="n"/>
      <c r="D247" s="385" t="n"/>
      <c r="E247" s="385" t="n"/>
      <c r="F247" s="520" t="n"/>
      <c r="G247" s="520" t="n"/>
      <c r="H247" s="385" t="n"/>
    </row>
    <row r="248">
      <c r="A248" s="385" t="n"/>
      <c r="B248" s="385" t="n"/>
      <c r="C248" s="385" t="n"/>
      <c r="D248" s="385" t="n"/>
      <c r="E248" s="385" t="n"/>
      <c r="F248" s="520" t="n"/>
      <c r="G248" s="520" t="n"/>
      <c r="H248" s="385" t="n"/>
    </row>
    <row r="249">
      <c r="A249" s="385" t="n"/>
      <c r="B249" s="385" t="n"/>
      <c r="C249" s="385" t="n"/>
      <c r="D249" s="385" t="n"/>
      <c r="E249" s="385" t="n"/>
      <c r="F249" s="520" t="n"/>
      <c r="G249" s="520" t="n"/>
      <c r="H249" s="385" t="n"/>
    </row>
    <row r="250">
      <c r="A250" s="385" t="n"/>
      <c r="B250" s="385" t="n"/>
      <c r="C250" s="385" t="n"/>
      <c r="D250" s="385" t="n"/>
      <c r="E250" s="385" t="n"/>
      <c r="F250" s="520" t="n"/>
      <c r="G250" s="520" t="n"/>
      <c r="H250" s="385" t="n"/>
    </row>
    <row r="251">
      <c r="A251" s="385" t="n"/>
      <c r="B251" s="385" t="n"/>
      <c r="C251" s="385" t="n"/>
      <c r="D251" s="385" t="n"/>
      <c r="E251" s="385" t="n"/>
      <c r="F251" s="520" t="n"/>
      <c r="G251" s="520" t="n"/>
      <c r="H251" s="385" t="n"/>
    </row>
    <row r="252">
      <c r="A252" s="385" t="n"/>
      <c r="B252" s="385" t="n"/>
      <c r="C252" s="385" t="n"/>
      <c r="D252" s="385" t="n"/>
      <c r="E252" s="385" t="n"/>
      <c r="F252" s="520" t="n"/>
      <c r="G252" s="520" t="n"/>
      <c r="H252" s="385" t="n"/>
    </row>
    <row r="253">
      <c r="A253" s="385" t="n"/>
      <c r="B253" s="385" t="n"/>
      <c r="C253" s="385" t="n"/>
      <c r="D253" s="385" t="n"/>
      <c r="E253" s="385" t="n"/>
      <c r="F253" s="520" t="n"/>
      <c r="G253" s="520" t="n"/>
      <c r="H253" s="385" t="n"/>
    </row>
    <row r="254">
      <c r="A254" s="385" t="n"/>
      <c r="B254" s="385" t="n"/>
      <c r="C254" s="385" t="n"/>
      <c r="D254" s="385" t="n"/>
      <c r="E254" s="385" t="n"/>
      <c r="F254" s="520" t="n"/>
      <c r="G254" s="520" t="n"/>
      <c r="H254" s="385" t="n"/>
    </row>
    <row r="255">
      <c r="A255" s="385" t="n"/>
      <c r="B255" s="385" t="n"/>
      <c r="C255" s="385" t="n"/>
      <c r="D255" s="385" t="n"/>
      <c r="E255" s="385" t="n"/>
      <c r="F255" s="520" t="n"/>
      <c r="G255" s="520" t="n"/>
      <c r="H255" s="385" t="n"/>
    </row>
    <row r="256">
      <c r="A256" s="385" t="n"/>
      <c r="B256" s="385" t="n"/>
      <c r="C256" s="385" t="n"/>
      <c r="D256" s="385" t="n"/>
      <c r="E256" s="385" t="n"/>
      <c r="F256" s="520" t="n"/>
      <c r="G256" s="520" t="n"/>
      <c r="H256" s="385" t="n"/>
    </row>
    <row r="257">
      <c r="A257" s="385" t="n"/>
      <c r="B257" s="385" t="n"/>
      <c r="C257" s="385" t="n"/>
      <c r="D257" s="385" t="n"/>
      <c r="E257" s="385" t="n"/>
      <c r="F257" s="520" t="n"/>
      <c r="G257" s="520" t="n"/>
      <c r="H257" s="385" t="n"/>
    </row>
    <row r="258">
      <c r="A258" s="385" t="n"/>
      <c r="B258" s="385" t="n"/>
      <c r="C258" s="385" t="n"/>
      <c r="D258" s="385" t="n"/>
      <c r="E258" s="385" t="n"/>
      <c r="F258" s="520" t="n"/>
      <c r="G258" s="520" t="n"/>
      <c r="H258" s="385" t="n"/>
    </row>
    <row r="259">
      <c r="A259" s="385" t="n"/>
      <c r="B259" s="385" t="n"/>
      <c r="C259" s="385" t="n"/>
      <c r="D259" s="385" t="n"/>
      <c r="E259" s="385" t="n"/>
      <c r="F259" s="520" t="n"/>
      <c r="G259" s="520" t="n"/>
      <c r="H259" s="385" t="n"/>
    </row>
    <row r="260">
      <c r="A260" s="385" t="n"/>
      <c r="B260" s="385" t="n"/>
      <c r="C260" s="385" t="n"/>
      <c r="D260" s="385" t="n"/>
      <c r="E260" s="385" t="n"/>
      <c r="F260" s="520" t="n"/>
      <c r="G260" s="520" t="n"/>
      <c r="H260" s="385" t="n"/>
    </row>
    <row r="261">
      <c r="A261" s="385" t="n"/>
      <c r="B261" s="385" t="n"/>
      <c r="C261" s="385" t="n"/>
      <c r="D261" s="385" t="n"/>
      <c r="E261" s="385" t="n"/>
      <c r="F261" s="520" t="n"/>
      <c r="G261" s="520" t="n"/>
      <c r="H261" s="385" t="n"/>
    </row>
    <row r="262">
      <c r="A262" s="385" t="n"/>
      <c r="B262" s="385" t="n"/>
      <c r="C262" s="385" t="n"/>
      <c r="D262" s="385" t="n"/>
      <c r="E262" s="385" t="n"/>
      <c r="F262" s="520" t="n"/>
      <c r="G262" s="520" t="n"/>
      <c r="H262" s="385" t="n"/>
    </row>
    <row r="263">
      <c r="A263" s="385" t="n"/>
      <c r="B263" s="385" t="n"/>
      <c r="C263" s="385" t="n"/>
      <c r="D263" s="385" t="n"/>
      <c r="E263" s="385" t="n"/>
      <c r="F263" s="520" t="n"/>
      <c r="G263" s="520" t="n"/>
      <c r="H263" s="385" t="n"/>
    </row>
    <row r="264">
      <c r="A264" s="385" t="n"/>
      <c r="B264" s="385" t="n"/>
      <c r="C264" s="385" t="n"/>
      <c r="D264" s="385" t="n"/>
      <c r="E264" s="385" t="n"/>
      <c r="F264" s="520" t="n"/>
      <c r="G264" s="520" t="n"/>
      <c r="H264" s="385" t="n"/>
    </row>
    <row r="265">
      <c r="A265" s="385" t="n"/>
      <c r="B265" s="385" t="n"/>
      <c r="C265" s="385" t="n"/>
      <c r="D265" s="385" t="n"/>
      <c r="E265" s="385" t="n"/>
      <c r="F265" s="520" t="n"/>
      <c r="G265" s="520" t="n"/>
      <c r="H265" s="385" t="n"/>
    </row>
    <row r="266">
      <c r="A266" s="385" t="n"/>
      <c r="B266" s="385" t="n"/>
      <c r="C266" s="385" t="n"/>
      <c r="D266" s="385" t="n"/>
      <c r="E266" s="385" t="n"/>
      <c r="F266" s="520" t="n"/>
      <c r="G266" s="520" t="n"/>
      <c r="H266" s="385" t="n"/>
    </row>
    <row r="267">
      <c r="A267" s="385" t="n"/>
      <c r="B267" s="385" t="n"/>
      <c r="C267" s="385" t="n"/>
      <c r="D267" s="385" t="n"/>
      <c r="E267" s="385" t="n"/>
      <c r="F267" s="520" t="n"/>
      <c r="G267" s="520" t="n"/>
      <c r="H267" s="385" t="n"/>
    </row>
    <row r="268">
      <c r="A268" s="385" t="n"/>
      <c r="B268" s="385" t="n"/>
      <c r="C268" s="385" t="n"/>
      <c r="D268" s="385" t="n"/>
      <c r="E268" s="385" t="n"/>
      <c r="F268" s="520" t="n"/>
      <c r="G268" s="520" t="n"/>
      <c r="H268" s="385" t="n"/>
    </row>
    <row r="269">
      <c r="A269" s="385" t="n"/>
      <c r="B269" s="385" t="n"/>
      <c r="C269" s="385" t="n"/>
      <c r="D269" s="385" t="n"/>
      <c r="E269" s="385" t="n"/>
      <c r="F269" s="520" t="n"/>
      <c r="G269" s="520" t="n"/>
      <c r="H269" s="385" t="n"/>
    </row>
    <row r="270">
      <c r="A270" s="385" t="n"/>
      <c r="B270" s="385" t="n"/>
      <c r="C270" s="385" t="n"/>
      <c r="D270" s="385" t="n"/>
      <c r="E270" s="385" t="n"/>
      <c r="F270" s="520" t="n"/>
      <c r="G270" s="520" t="n"/>
      <c r="H270" s="385" t="n"/>
    </row>
    <row r="271">
      <c r="A271" s="385" t="n"/>
      <c r="B271" s="385" t="n"/>
      <c r="C271" s="385" t="n"/>
      <c r="D271" s="385" t="n"/>
      <c r="E271" s="385" t="n"/>
      <c r="F271" s="520" t="n"/>
      <c r="G271" s="520" t="n"/>
      <c r="H271" s="385" t="n"/>
    </row>
    <row r="272">
      <c r="A272" s="385" t="n"/>
      <c r="B272" s="385" t="n"/>
      <c r="C272" s="385" t="n"/>
      <c r="D272" s="385" t="n"/>
      <c r="E272" s="385" t="n"/>
      <c r="F272" s="520" t="n"/>
      <c r="G272" s="520" t="n"/>
      <c r="H272" s="385" t="n"/>
    </row>
    <row r="273">
      <c r="A273" s="385" t="n"/>
      <c r="B273" s="385" t="n"/>
      <c r="C273" s="385" t="n"/>
      <c r="D273" s="385" t="n"/>
      <c r="E273" s="385" t="n"/>
      <c r="F273" s="520" t="n"/>
      <c r="G273" s="520" t="n"/>
      <c r="H273" s="385" t="n"/>
    </row>
    <row r="274">
      <c r="A274" s="385" t="n"/>
      <c r="B274" s="385" t="n"/>
      <c r="C274" s="385" t="n"/>
      <c r="D274" s="385" t="n"/>
      <c r="E274" s="385" t="n"/>
      <c r="F274" s="520" t="n"/>
      <c r="G274" s="520" t="n"/>
      <c r="H274" s="385" t="n"/>
    </row>
    <row r="275">
      <c r="A275" s="385" t="n"/>
      <c r="B275" s="385" t="n"/>
      <c r="C275" s="385" t="n"/>
      <c r="D275" s="385" t="n"/>
      <c r="E275" s="385" t="n"/>
      <c r="F275" s="520" t="n"/>
      <c r="G275" s="520" t="n"/>
      <c r="H275" s="385" t="n"/>
    </row>
    <row r="276">
      <c r="A276" s="385" t="n"/>
      <c r="B276" s="385" t="n"/>
      <c r="C276" s="385" t="n"/>
      <c r="D276" s="385" t="n"/>
      <c r="E276" s="385" t="n"/>
      <c r="F276" s="520" t="n"/>
      <c r="G276" s="520" t="n"/>
      <c r="H276" s="385" t="n"/>
    </row>
    <row r="277">
      <c r="A277" s="385" t="n"/>
      <c r="B277" s="385" t="n"/>
      <c r="C277" s="385" t="n"/>
      <c r="D277" s="385" t="n"/>
      <c r="E277" s="385" t="n"/>
      <c r="F277" s="520" t="n"/>
      <c r="G277" s="520" t="n"/>
      <c r="H277" s="385" t="n"/>
    </row>
    <row r="278">
      <c r="A278" s="385" t="n"/>
      <c r="B278" s="385" t="n"/>
      <c r="C278" s="385" t="n"/>
      <c r="D278" s="385" t="n"/>
      <c r="E278" s="385" t="n"/>
      <c r="F278" s="520" t="n"/>
      <c r="G278" s="520" t="n"/>
      <c r="H278" s="385" t="n"/>
    </row>
    <row r="279">
      <c r="A279" s="385" t="n"/>
      <c r="B279" s="385" t="n"/>
      <c r="C279" s="385" t="n"/>
      <c r="D279" s="385" t="n"/>
      <c r="E279" s="385" t="n"/>
      <c r="F279" s="520" t="n"/>
      <c r="G279" s="520" t="n"/>
      <c r="H279" s="385" t="n"/>
    </row>
    <row r="280">
      <c r="A280" s="385" t="n"/>
      <c r="B280" s="385" t="n"/>
      <c r="C280" s="385" t="n"/>
      <c r="D280" s="385" t="n"/>
      <c r="E280" s="385" t="n"/>
      <c r="F280" s="520" t="n"/>
      <c r="G280" s="520" t="n"/>
      <c r="H280" s="385" t="n"/>
    </row>
    <row r="281">
      <c r="A281" s="385" t="n"/>
      <c r="B281" s="385" t="n"/>
      <c r="C281" s="385" t="n"/>
      <c r="D281" s="385" t="n"/>
      <c r="E281" s="385" t="n"/>
      <c r="F281" s="520" t="n"/>
      <c r="G281" s="520" t="n"/>
      <c r="H281" s="385" t="n"/>
    </row>
    <row r="282">
      <c r="A282" s="385" t="n"/>
      <c r="B282" s="385" t="n"/>
      <c r="C282" s="385" t="n"/>
      <c r="D282" s="385" t="n"/>
      <c r="E282" s="385" t="n"/>
      <c r="F282" s="520" t="n"/>
      <c r="G282" s="520" t="n"/>
      <c r="H282" s="385" t="n"/>
    </row>
    <row r="283">
      <c r="A283" s="385" t="n"/>
      <c r="B283" s="385" t="n"/>
      <c r="C283" s="385" t="n"/>
      <c r="D283" s="385" t="n"/>
      <c r="E283" s="385" t="n"/>
      <c r="F283" s="520" t="n"/>
      <c r="G283" s="520" t="n"/>
      <c r="H283" s="385" t="n"/>
    </row>
    <row r="284">
      <c r="A284" s="385" t="n"/>
      <c r="B284" s="385" t="n"/>
      <c r="C284" s="385" t="n"/>
      <c r="D284" s="385" t="n"/>
      <c r="E284" s="385" t="n"/>
      <c r="F284" s="520" t="n"/>
      <c r="G284" s="520" t="n"/>
      <c r="H284" s="385" t="n"/>
    </row>
    <row r="285">
      <c r="A285" s="385" t="n"/>
      <c r="B285" s="385" t="n"/>
      <c r="C285" s="385" t="n"/>
      <c r="D285" s="385" t="n"/>
      <c r="E285" s="385" t="n"/>
      <c r="F285" s="520" t="n"/>
      <c r="G285" s="520" t="n"/>
      <c r="H285" s="385" t="n"/>
    </row>
    <row r="286">
      <c r="A286" s="385" t="n"/>
      <c r="B286" s="385" t="n"/>
      <c r="C286" s="385" t="n"/>
      <c r="D286" s="385" t="n"/>
      <c r="E286" s="385" t="n"/>
      <c r="F286" s="520" t="n"/>
      <c r="G286" s="520" t="n"/>
      <c r="H286" s="385" t="n"/>
    </row>
    <row r="287">
      <c r="A287" s="385" t="n"/>
      <c r="B287" s="385" t="n"/>
      <c r="C287" s="385" t="n"/>
      <c r="D287" s="385" t="n"/>
      <c r="E287" s="385" t="n"/>
      <c r="F287" s="520" t="n"/>
      <c r="G287" s="520" t="n"/>
      <c r="H287" s="385" t="n"/>
    </row>
    <row r="288">
      <c r="A288" s="385" t="n"/>
      <c r="B288" s="385" t="n"/>
      <c r="C288" s="385" t="n"/>
      <c r="D288" s="385" t="n"/>
      <c r="E288" s="385" t="n"/>
      <c r="F288" s="520" t="n"/>
      <c r="G288" s="520" t="n"/>
      <c r="H288" s="385" t="n"/>
    </row>
    <row r="289">
      <c r="A289" s="385" t="n"/>
      <c r="B289" s="385" t="n"/>
      <c r="C289" s="385" t="n"/>
      <c r="D289" s="385" t="n"/>
      <c r="E289" s="385" t="n"/>
      <c r="F289" s="520" t="n"/>
      <c r="G289" s="520" t="n"/>
      <c r="H289" s="385" t="n"/>
    </row>
    <row r="290">
      <c r="A290" s="385" t="n"/>
      <c r="B290" s="385" t="n"/>
      <c r="C290" s="385" t="n"/>
      <c r="D290" s="385" t="n"/>
      <c r="E290" s="385" t="n"/>
      <c r="F290" s="520" t="n"/>
      <c r="G290" s="520" t="n"/>
      <c r="H290" s="385" t="n"/>
    </row>
    <row r="291">
      <c r="A291" s="385" t="n"/>
      <c r="B291" s="385" t="n"/>
      <c r="C291" s="385" t="n"/>
      <c r="D291" s="385" t="n"/>
      <c r="E291" s="385" t="n"/>
      <c r="F291" s="520" t="n"/>
      <c r="G291" s="520" t="n"/>
      <c r="H291" s="385" t="n"/>
    </row>
    <row r="292">
      <c r="A292" s="385" t="n"/>
      <c r="B292" s="385" t="n"/>
      <c r="C292" s="385" t="n"/>
      <c r="D292" s="385" t="n"/>
      <c r="E292" s="385" t="n"/>
      <c r="F292" s="520" t="n"/>
      <c r="G292" s="520" t="n"/>
      <c r="H292" s="385" t="n"/>
    </row>
    <row r="293">
      <c r="A293" s="385" t="n"/>
      <c r="B293" s="385" t="n"/>
      <c r="C293" s="385" t="n"/>
      <c r="D293" s="385" t="n"/>
      <c r="E293" s="385" t="n"/>
      <c r="F293" s="520" t="n"/>
      <c r="G293" s="520" t="n"/>
      <c r="H293" s="385" t="n"/>
    </row>
    <row r="294">
      <c r="A294" s="385" t="n"/>
      <c r="B294" s="385" t="n"/>
      <c r="C294" s="385" t="n"/>
      <c r="D294" s="385" t="n"/>
      <c r="E294" s="385" t="n"/>
      <c r="F294" s="520" t="n"/>
      <c r="G294" s="520" t="n"/>
      <c r="H294" s="385" t="n"/>
    </row>
    <row r="295">
      <c r="A295" s="385" t="n"/>
      <c r="B295" s="385" t="n"/>
      <c r="C295" s="385" t="n"/>
      <c r="D295" s="385" t="n"/>
      <c r="E295" s="385" t="n"/>
      <c r="F295" s="520" t="n"/>
      <c r="G295" s="520" t="n"/>
      <c r="H295" s="385" t="n"/>
    </row>
    <row r="296">
      <c r="A296" s="385" t="n"/>
      <c r="B296" s="385" t="n"/>
      <c r="C296" s="385" t="n"/>
      <c r="D296" s="385" t="n"/>
      <c r="E296" s="385" t="n"/>
      <c r="F296" s="520" t="n"/>
      <c r="G296" s="520" t="n"/>
      <c r="H296" s="385" t="n"/>
    </row>
    <row r="297">
      <c r="A297" s="385" t="n"/>
      <c r="B297" s="385" t="n"/>
      <c r="C297" s="385" t="n"/>
      <c r="D297" s="385" t="n"/>
      <c r="E297" s="385" t="n"/>
      <c r="F297" s="520" t="n"/>
      <c r="G297" s="520" t="n"/>
      <c r="H297" s="385" t="n"/>
    </row>
    <row r="298">
      <c r="A298" s="385" t="n"/>
      <c r="B298" s="385" t="n"/>
      <c r="C298" s="385" t="n"/>
      <c r="D298" s="385" t="n"/>
      <c r="E298" s="385" t="n"/>
      <c r="F298" s="520" t="n"/>
      <c r="G298" s="520" t="n"/>
      <c r="H298" s="385" t="n"/>
    </row>
    <row r="299">
      <c r="A299" s="385" t="n"/>
      <c r="B299" s="385" t="n"/>
      <c r="C299" s="385" t="n"/>
      <c r="D299" s="385" t="n"/>
      <c r="E299" s="385" t="n"/>
      <c r="F299" s="520" t="n"/>
      <c r="G299" s="520" t="n"/>
      <c r="H299" s="385" t="n"/>
    </row>
    <row r="300">
      <c r="A300" s="385" t="n"/>
      <c r="B300" s="385" t="n"/>
      <c r="C300" s="385" t="n"/>
      <c r="D300" s="385" t="n"/>
      <c r="E300" s="385" t="n"/>
      <c r="F300" s="520" t="n"/>
      <c r="G300" s="520" t="n"/>
      <c r="H300" s="385" t="n"/>
    </row>
    <row r="301">
      <c r="A301" s="385" t="n"/>
      <c r="B301" s="385" t="n"/>
      <c r="C301" s="385" t="n"/>
      <c r="D301" s="385" t="n"/>
      <c r="E301" s="385" t="n"/>
      <c r="F301" s="520" t="n"/>
      <c r="G301" s="520" t="n"/>
      <c r="H301" s="385" t="n"/>
    </row>
    <row r="302">
      <c r="A302" s="385" t="n"/>
      <c r="B302" s="385" t="n"/>
      <c r="C302" s="385" t="n"/>
      <c r="D302" s="385" t="n"/>
      <c r="E302" s="385" t="n"/>
      <c r="F302" s="520" t="n"/>
      <c r="G302" s="520" t="n"/>
      <c r="H302" s="385" t="n"/>
    </row>
    <row r="303">
      <c r="A303" s="385" t="n"/>
      <c r="B303" s="385" t="n"/>
      <c r="C303" s="385" t="n"/>
      <c r="D303" s="385" t="n"/>
      <c r="E303" s="385" t="n"/>
      <c r="F303" s="520" t="n"/>
      <c r="G303" s="520" t="n"/>
      <c r="H303" s="385" t="n"/>
    </row>
    <row r="304">
      <c r="A304" s="385" t="n"/>
      <c r="B304" s="385" t="n"/>
      <c r="C304" s="385" t="n"/>
      <c r="D304" s="385" t="n"/>
      <c r="E304" s="385" t="n"/>
      <c r="F304" s="520" t="n"/>
      <c r="G304" s="520" t="n"/>
      <c r="H304" s="385" t="n"/>
    </row>
    <row r="305">
      <c r="A305" s="385" t="n"/>
      <c r="B305" s="385" t="n"/>
      <c r="C305" s="385" t="n"/>
      <c r="D305" s="385" t="n"/>
      <c r="E305" s="385" t="n"/>
      <c r="F305" s="520" t="n"/>
      <c r="G305" s="520" t="n"/>
      <c r="H305" s="385" t="n"/>
    </row>
    <row r="306">
      <c r="A306" s="385" t="n"/>
      <c r="B306" s="385" t="n"/>
      <c r="C306" s="385" t="n"/>
      <c r="D306" s="385" t="n"/>
      <c r="E306" s="385" t="n"/>
      <c r="F306" s="520" t="n"/>
      <c r="G306" s="520" t="n"/>
      <c r="H306" s="385" t="n"/>
    </row>
    <row r="307">
      <c r="A307" s="385" t="n"/>
      <c r="B307" s="385" t="n"/>
      <c r="C307" s="385" t="n"/>
      <c r="D307" s="385" t="n"/>
      <c r="E307" s="385" t="n"/>
      <c r="F307" s="520" t="n"/>
      <c r="G307" s="520" t="n"/>
      <c r="H307" s="385" t="n"/>
    </row>
    <row r="308">
      <c r="A308" s="385" t="n"/>
      <c r="B308" s="385" t="n"/>
      <c r="C308" s="385" t="n"/>
      <c r="D308" s="385" t="n"/>
      <c r="E308" s="385" t="n"/>
      <c r="F308" s="520" t="n"/>
      <c r="G308" s="520" t="n"/>
      <c r="H308" s="385" t="n"/>
    </row>
    <row r="309">
      <c r="A309" s="385" t="n"/>
      <c r="B309" s="385" t="n"/>
      <c r="C309" s="385" t="n"/>
      <c r="D309" s="385" t="n"/>
      <c r="E309" s="385" t="n"/>
      <c r="F309" s="520" t="n"/>
      <c r="G309" s="520" t="n"/>
      <c r="H309" s="385" t="n"/>
    </row>
    <row r="310">
      <c r="A310" s="385" t="n"/>
      <c r="B310" s="385" t="n"/>
      <c r="C310" s="385" t="n"/>
      <c r="D310" s="385" t="n"/>
      <c r="E310" s="385" t="n"/>
      <c r="F310" s="520" t="n"/>
      <c r="G310" s="520" t="n"/>
      <c r="H310" s="385" t="n"/>
    </row>
    <row r="311">
      <c r="A311" s="385" t="n"/>
      <c r="B311" s="385" t="n"/>
      <c r="C311" s="385" t="n"/>
      <c r="D311" s="385" t="n"/>
      <c r="E311" s="385" t="n"/>
      <c r="F311" s="520" t="n"/>
      <c r="G311" s="520" t="n"/>
      <c r="H311" s="385" t="n"/>
    </row>
    <row r="312">
      <c r="A312" s="385" t="n"/>
      <c r="B312" s="385" t="n"/>
      <c r="C312" s="385" t="n"/>
      <c r="D312" s="385" t="n"/>
      <c r="E312" s="385" t="n"/>
      <c r="F312" s="520" t="n"/>
      <c r="G312" s="520" t="n"/>
      <c r="H312" s="385" t="n"/>
    </row>
    <row r="313">
      <c r="A313" s="385" t="n"/>
      <c r="B313" s="385" t="n"/>
      <c r="C313" s="385" t="n"/>
      <c r="D313" s="385" t="n"/>
      <c r="E313" s="385" t="n"/>
      <c r="F313" s="520" t="n"/>
      <c r="G313" s="520" t="n"/>
      <c r="H313" s="385" t="n"/>
    </row>
    <row r="314">
      <c r="A314" s="385" t="n"/>
      <c r="B314" s="385" t="n"/>
      <c r="C314" s="385" t="n"/>
      <c r="D314" s="385" t="n"/>
      <c r="E314" s="385" t="n"/>
      <c r="F314" s="520" t="n"/>
      <c r="G314" s="520" t="n"/>
      <c r="H314" s="385" t="n"/>
    </row>
    <row r="315">
      <c r="A315" s="385" t="n"/>
      <c r="B315" s="385" t="n"/>
      <c r="C315" s="385" t="n"/>
      <c r="D315" s="385" t="n"/>
      <c r="E315" s="385" t="n"/>
      <c r="F315" s="520" t="n"/>
      <c r="G315" s="520" t="n"/>
      <c r="H315" s="385" t="n"/>
    </row>
    <row r="316">
      <c r="A316" s="385" t="n"/>
      <c r="B316" s="385" t="n"/>
      <c r="C316" s="385" t="n"/>
      <c r="D316" s="385" t="n"/>
      <c r="E316" s="385" t="n"/>
      <c r="F316" s="520" t="n"/>
      <c r="G316" s="520" t="n"/>
      <c r="H316" s="385" t="n"/>
    </row>
    <row r="317">
      <c r="A317" s="385" t="n"/>
      <c r="B317" s="385" t="n"/>
      <c r="C317" s="385" t="n"/>
      <c r="D317" s="385" t="n"/>
      <c r="E317" s="385" t="n"/>
      <c r="F317" s="520" t="n"/>
      <c r="G317" s="520" t="n"/>
      <c r="H317" s="385" t="n"/>
    </row>
    <row r="318">
      <c r="A318" s="385" t="n"/>
      <c r="B318" s="385" t="n"/>
      <c r="C318" s="385" t="n"/>
      <c r="D318" s="385" t="n"/>
      <c r="E318" s="385" t="n"/>
      <c r="F318" s="520" t="n"/>
      <c r="G318" s="520" t="n"/>
      <c r="H318" s="385" t="n"/>
    </row>
    <row r="319">
      <c r="A319" s="385" t="n"/>
      <c r="B319" s="385" t="n"/>
      <c r="C319" s="385" t="n"/>
      <c r="D319" s="385" t="n"/>
      <c r="E319" s="385" t="n"/>
      <c r="F319" s="520" t="n"/>
      <c r="G319" s="520" t="n"/>
      <c r="H319" s="385" t="n"/>
    </row>
    <row r="320">
      <c r="A320" s="385" t="n"/>
      <c r="B320" s="385" t="n"/>
      <c r="C320" s="385" t="n"/>
      <c r="D320" s="385" t="n"/>
      <c r="E320" s="385" t="n"/>
      <c r="F320" s="520" t="n"/>
      <c r="G320" s="520" t="n"/>
      <c r="H320" s="385" t="n"/>
    </row>
    <row r="321">
      <c r="A321" s="385" t="n"/>
      <c r="B321" s="385" t="n"/>
      <c r="C321" s="385" t="n"/>
      <c r="D321" s="385" t="n"/>
      <c r="E321" s="385" t="n"/>
      <c r="F321" s="520" t="n"/>
      <c r="G321" s="520" t="n"/>
      <c r="H321" s="385" t="n"/>
    </row>
    <row r="322">
      <c r="A322" s="385" t="n"/>
      <c r="B322" s="385" t="n"/>
      <c r="C322" s="385" t="n"/>
      <c r="D322" s="385" t="n"/>
      <c r="E322" s="385" t="n"/>
      <c r="F322" s="520" t="n"/>
      <c r="G322" s="520" t="n"/>
      <c r="H322" s="385" t="n"/>
    </row>
    <row r="323">
      <c r="A323" s="385" t="n"/>
      <c r="B323" s="385" t="n"/>
      <c r="C323" s="385" t="n"/>
      <c r="D323" s="385" t="n"/>
      <c r="E323" s="385" t="n"/>
      <c r="F323" s="520" t="n"/>
      <c r="G323" s="520" t="n"/>
      <c r="H323" s="385" t="n"/>
    </row>
    <row r="324">
      <c r="A324" s="385" t="n"/>
      <c r="B324" s="385" t="n"/>
      <c r="C324" s="385" t="n"/>
      <c r="D324" s="385" t="n"/>
      <c r="E324" s="385" t="n"/>
      <c r="F324" s="520" t="n"/>
      <c r="G324" s="520" t="n"/>
      <c r="H324" s="385" t="n"/>
    </row>
    <row r="325">
      <c r="A325" s="385" t="n"/>
      <c r="B325" s="385" t="n"/>
      <c r="C325" s="385" t="n"/>
      <c r="D325" s="385" t="n"/>
      <c r="E325" s="385" t="n"/>
      <c r="F325" s="520" t="n"/>
      <c r="G325" s="520" t="n"/>
      <c r="H325" s="385" t="n"/>
    </row>
    <row r="326">
      <c r="A326" s="385" t="n"/>
      <c r="B326" s="385" t="n"/>
      <c r="C326" s="385" t="n"/>
      <c r="D326" s="385" t="n"/>
      <c r="E326" s="385" t="n"/>
      <c r="F326" s="520" t="n"/>
      <c r="G326" s="520" t="n"/>
      <c r="H326" s="385" t="n"/>
    </row>
    <row r="327">
      <c r="A327" s="385" t="n"/>
      <c r="B327" s="385" t="n"/>
      <c r="C327" s="385" t="n"/>
      <c r="D327" s="385" t="n"/>
      <c r="E327" s="385" t="n"/>
      <c r="F327" s="520" t="n"/>
      <c r="G327" s="520" t="n"/>
      <c r="H327" s="385" t="n"/>
    </row>
    <row r="328">
      <c r="A328" s="385" t="n"/>
      <c r="B328" s="385" t="n"/>
      <c r="C328" s="385" t="n"/>
      <c r="D328" s="385" t="n"/>
      <c r="E328" s="385" t="n"/>
      <c r="F328" s="520" t="n"/>
      <c r="G328" s="520" t="n"/>
      <c r="H328" s="385" t="n"/>
    </row>
    <row r="329">
      <c r="A329" s="385" t="n"/>
      <c r="B329" s="385" t="n"/>
      <c r="C329" s="385" t="n"/>
      <c r="D329" s="385" t="n"/>
      <c r="E329" s="385" t="n"/>
      <c r="F329" s="520" t="n"/>
      <c r="G329" s="520" t="n"/>
      <c r="H329" s="385" t="n"/>
    </row>
    <row r="330">
      <c r="A330" s="385" t="n"/>
      <c r="B330" s="385" t="n"/>
      <c r="C330" s="385" t="n"/>
      <c r="D330" s="385" t="n"/>
      <c r="E330" s="385" t="n"/>
      <c r="F330" s="520" t="n"/>
      <c r="G330" s="520" t="n"/>
      <c r="H330" s="385" t="n"/>
    </row>
    <row r="331">
      <c r="A331" s="385" t="n"/>
      <c r="B331" s="385" t="n"/>
      <c r="C331" s="385" t="n"/>
      <c r="D331" s="385" t="n"/>
      <c r="E331" s="385" t="n"/>
      <c r="F331" s="520" t="n"/>
      <c r="G331" s="520" t="n"/>
      <c r="H331" s="385" t="n"/>
    </row>
    <row r="332">
      <c r="A332" s="385" t="n"/>
      <c r="B332" s="385" t="n"/>
      <c r="C332" s="385" t="n"/>
      <c r="D332" s="385" t="n"/>
      <c r="E332" s="385" t="n"/>
      <c r="F332" s="520" t="n"/>
      <c r="G332" s="520" t="n"/>
      <c r="H332" s="385" t="n"/>
    </row>
    <row r="333">
      <c r="A333" s="385" t="n"/>
      <c r="B333" s="385" t="n"/>
      <c r="C333" s="385" t="n"/>
      <c r="D333" s="385" t="n"/>
      <c r="E333" s="385" t="n"/>
      <c r="F333" s="520" t="n"/>
      <c r="G333" s="520" t="n"/>
      <c r="H333" s="385" t="n"/>
    </row>
    <row r="334">
      <c r="A334" s="385" t="n"/>
      <c r="B334" s="385" t="n"/>
      <c r="C334" s="385" t="n"/>
      <c r="D334" s="385" t="n"/>
      <c r="E334" s="385" t="n"/>
      <c r="F334" s="520" t="n"/>
      <c r="G334" s="520" t="n"/>
      <c r="H334" s="385" t="n"/>
    </row>
    <row r="335">
      <c r="A335" s="385" t="n"/>
      <c r="B335" s="385" t="n"/>
      <c r="C335" s="385" t="n"/>
      <c r="D335" s="385" t="n"/>
      <c r="E335" s="385" t="n"/>
      <c r="F335" s="520" t="n"/>
      <c r="G335" s="520" t="n"/>
      <c r="H335" s="385" t="n"/>
    </row>
    <row r="336">
      <c r="A336" s="385" t="n"/>
      <c r="B336" s="385" t="n"/>
      <c r="C336" s="385" t="n"/>
      <c r="D336" s="385" t="n"/>
      <c r="E336" s="385" t="n"/>
      <c r="F336" s="520" t="n"/>
      <c r="G336" s="520" t="n"/>
      <c r="H336" s="385" t="n"/>
    </row>
    <row r="337">
      <c r="A337" s="385" t="n"/>
      <c r="B337" s="385" t="n"/>
      <c r="C337" s="385" t="n"/>
      <c r="D337" s="385" t="n"/>
      <c r="E337" s="385" t="n"/>
      <c r="F337" s="520" t="n"/>
      <c r="G337" s="520" t="n"/>
      <c r="H337" s="385" t="n"/>
    </row>
    <row r="338">
      <c r="A338" s="385" t="n"/>
      <c r="B338" s="385" t="n"/>
      <c r="C338" s="385" t="n"/>
      <c r="D338" s="385" t="n"/>
      <c r="E338" s="385" t="n"/>
      <c r="F338" s="520" t="n"/>
      <c r="G338" s="520" t="n"/>
      <c r="H338" s="385" t="n"/>
    </row>
    <row r="339">
      <c r="A339" s="385" t="n"/>
      <c r="B339" s="385" t="n"/>
      <c r="C339" s="385" t="n"/>
      <c r="D339" s="385" t="n"/>
      <c r="E339" s="385" t="n"/>
      <c r="F339" s="520" t="n"/>
      <c r="G339" s="520" t="n"/>
      <c r="H339" s="385" t="n"/>
    </row>
    <row r="340">
      <c r="A340" s="385" t="n"/>
      <c r="B340" s="385" t="n"/>
      <c r="C340" s="385" t="n"/>
      <c r="D340" s="385" t="n"/>
      <c r="E340" s="385" t="n"/>
      <c r="F340" s="520" t="n"/>
      <c r="G340" s="520" t="n"/>
      <c r="H340" s="385" t="n"/>
    </row>
    <row r="341">
      <c r="A341" s="385" t="n"/>
      <c r="B341" s="385" t="n"/>
      <c r="C341" s="385" t="n"/>
      <c r="D341" s="385" t="n"/>
      <c r="E341" s="385" t="n"/>
      <c r="F341" s="520" t="n"/>
      <c r="G341" s="520" t="n"/>
      <c r="H341" s="385" t="n"/>
    </row>
    <row r="342">
      <c r="A342" s="385" t="n"/>
      <c r="B342" s="385" t="n"/>
      <c r="C342" s="385" t="n"/>
      <c r="D342" s="385" t="n"/>
      <c r="E342" s="385" t="n"/>
      <c r="F342" s="520" t="n"/>
      <c r="G342" s="520" t="n"/>
      <c r="H342" s="385" t="n"/>
    </row>
    <row r="343">
      <c r="A343" s="385" t="n"/>
      <c r="B343" s="385" t="n"/>
      <c r="C343" s="385" t="n"/>
      <c r="D343" s="385" t="n"/>
      <c r="E343" s="385" t="n"/>
      <c r="F343" s="520" t="n"/>
      <c r="G343" s="520" t="n"/>
      <c r="H343" s="385" t="n"/>
    </row>
    <row r="344">
      <c r="A344" s="385" t="n"/>
      <c r="B344" s="385" t="n"/>
      <c r="C344" s="385" t="n"/>
      <c r="D344" s="385" t="n"/>
      <c r="E344" s="385" t="n"/>
      <c r="F344" s="520" t="n"/>
      <c r="G344" s="520" t="n"/>
      <c r="H344" s="385" t="n"/>
    </row>
    <row r="345">
      <c r="A345" s="385" t="n"/>
      <c r="B345" s="385" t="n"/>
      <c r="C345" s="385" t="n"/>
      <c r="D345" s="385" t="n"/>
      <c r="E345" s="385" t="n"/>
      <c r="F345" s="520" t="n"/>
      <c r="G345" s="520" t="n"/>
      <c r="H345" s="385" t="n"/>
    </row>
    <row r="346">
      <c r="A346" s="385" t="n"/>
      <c r="B346" s="385" t="n"/>
      <c r="C346" s="385" t="n"/>
      <c r="D346" s="385" t="n"/>
      <c r="E346" s="385" t="n"/>
      <c r="F346" s="520" t="n"/>
      <c r="G346" s="520" t="n"/>
      <c r="H346" s="385" t="n"/>
    </row>
    <row r="347">
      <c r="A347" s="385" t="n"/>
      <c r="B347" s="385" t="n"/>
      <c r="C347" s="385" t="n"/>
      <c r="D347" s="385" t="n"/>
      <c r="E347" s="385" t="n"/>
      <c r="F347" s="520" t="n"/>
      <c r="G347" s="520" t="n"/>
      <c r="H347" s="385" t="n"/>
    </row>
    <row r="348">
      <c r="A348" s="385" t="n"/>
      <c r="B348" s="385" t="n"/>
      <c r="C348" s="385" t="n"/>
      <c r="D348" s="385" t="n"/>
      <c r="E348" s="385" t="n"/>
      <c r="F348" s="520" t="n"/>
      <c r="G348" s="520" t="n"/>
      <c r="H348" s="385" t="n"/>
    </row>
    <row r="349">
      <c r="A349" s="385" t="n"/>
      <c r="B349" s="385" t="n"/>
      <c r="C349" s="385" t="n"/>
      <c r="D349" s="385" t="n"/>
      <c r="E349" s="385" t="n"/>
      <c r="F349" s="520" t="n"/>
      <c r="G349" s="520" t="n"/>
      <c r="H349" s="385" t="n"/>
    </row>
    <row r="350">
      <c r="A350" s="385" t="n"/>
      <c r="B350" s="385" t="n"/>
      <c r="C350" s="385" t="n"/>
      <c r="D350" s="385" t="n"/>
      <c r="E350" s="385" t="n"/>
      <c r="F350" s="520" t="n"/>
      <c r="G350" s="520" t="n"/>
      <c r="H350" s="385" t="n"/>
    </row>
    <row r="351">
      <c r="A351" s="385" t="n"/>
      <c r="B351" s="385" t="n"/>
      <c r="C351" s="385" t="n"/>
      <c r="D351" s="385" t="n"/>
      <c r="E351" s="385" t="n"/>
      <c r="F351" s="520" t="n"/>
      <c r="G351" s="520" t="n"/>
      <c r="H351" s="385" t="n"/>
    </row>
    <row r="352">
      <c r="A352" s="385" t="n"/>
      <c r="B352" s="385" t="n"/>
      <c r="C352" s="385" t="n"/>
      <c r="D352" s="385" t="n"/>
      <c r="E352" s="385" t="n"/>
      <c r="F352" s="520" t="n"/>
      <c r="G352" s="520" t="n"/>
      <c r="H352" s="385" t="n"/>
    </row>
    <row r="353">
      <c r="A353" s="385" t="n"/>
      <c r="B353" s="385" t="n"/>
      <c r="C353" s="385" t="n"/>
      <c r="D353" s="385" t="n"/>
      <c r="E353" s="385" t="n"/>
      <c r="F353" s="520" t="n"/>
      <c r="G353" s="520" t="n"/>
      <c r="H353" s="385" t="n"/>
    </row>
    <row r="354">
      <c r="A354" s="385" t="n"/>
      <c r="B354" s="385" t="n"/>
      <c r="C354" s="385" t="n"/>
      <c r="D354" s="385" t="n"/>
      <c r="E354" s="385" t="n"/>
      <c r="F354" s="520" t="n"/>
      <c r="G354" s="520" t="n"/>
      <c r="H354" s="385" t="n"/>
    </row>
    <row r="355">
      <c r="A355" s="385" t="n"/>
      <c r="B355" s="385" t="n"/>
      <c r="C355" s="385" t="n"/>
      <c r="D355" s="385" t="n"/>
      <c r="E355" s="385" t="n"/>
      <c r="F355" s="520" t="n"/>
      <c r="G355" s="520" t="n"/>
      <c r="H355" s="385" t="n"/>
    </row>
    <row r="356">
      <c r="A356" s="385" t="n"/>
      <c r="B356" s="385" t="n"/>
      <c r="C356" s="385" t="n"/>
      <c r="D356" s="385" t="n"/>
      <c r="E356" s="385" t="n"/>
      <c r="F356" s="520" t="n"/>
      <c r="G356" s="520" t="n"/>
      <c r="H356" s="385" t="n"/>
    </row>
    <row r="357">
      <c r="A357" s="385" t="n"/>
      <c r="B357" s="385" t="n"/>
      <c r="C357" s="385" t="n"/>
      <c r="D357" s="385" t="n"/>
      <c r="E357" s="385" t="n"/>
      <c r="F357" s="520" t="n"/>
      <c r="G357" s="520" t="n"/>
      <c r="H357" s="385" t="n"/>
    </row>
    <row r="358">
      <c r="A358" s="385" t="n"/>
      <c r="B358" s="385" t="n"/>
      <c r="C358" s="385" t="n"/>
      <c r="D358" s="385" t="n"/>
      <c r="E358" s="385" t="n"/>
      <c r="F358" s="520" t="n"/>
      <c r="G358" s="520" t="n"/>
      <c r="H358" s="385" t="n"/>
    </row>
    <row r="359">
      <c r="A359" s="385" t="n"/>
      <c r="B359" s="385" t="n"/>
      <c r="C359" s="385" t="n"/>
      <c r="D359" s="385" t="n"/>
      <c r="E359" s="385" t="n"/>
      <c r="F359" s="520" t="n"/>
      <c r="G359" s="520" t="n"/>
      <c r="H359" s="385" t="n"/>
    </row>
    <row r="360">
      <c r="A360" s="385" t="n"/>
      <c r="B360" s="385" t="n"/>
      <c r="C360" s="385" t="n"/>
      <c r="D360" s="385" t="n"/>
      <c r="E360" s="385" t="n"/>
      <c r="F360" s="520" t="n"/>
      <c r="G360" s="520" t="n"/>
      <c r="H360" s="385" t="n"/>
    </row>
    <row r="361">
      <c r="A361" s="385" t="n"/>
      <c r="B361" s="385" t="n"/>
      <c r="C361" s="385" t="n"/>
      <c r="D361" s="385" t="n"/>
      <c r="E361" s="385" t="n"/>
      <c r="F361" s="520" t="n"/>
      <c r="G361" s="520" t="n"/>
      <c r="H361" s="385" t="n"/>
    </row>
    <row r="362">
      <c r="A362" s="385" t="n"/>
      <c r="B362" s="385" t="n"/>
      <c r="C362" s="385" t="n"/>
      <c r="D362" s="385" t="n"/>
      <c r="E362" s="385" t="n"/>
      <c r="F362" s="520" t="n"/>
      <c r="G362" s="520" t="n"/>
      <c r="H362" s="385" t="n"/>
    </row>
    <row r="363">
      <c r="A363" s="385" t="n"/>
      <c r="B363" s="385" t="n"/>
      <c r="C363" s="385" t="n"/>
      <c r="D363" s="385" t="n"/>
      <c r="E363" s="385" t="n"/>
      <c r="F363" s="520" t="n"/>
      <c r="G363" s="520" t="n"/>
      <c r="H363" s="385" t="n"/>
    </row>
    <row r="364">
      <c r="A364" s="385" t="n"/>
      <c r="B364" s="385" t="n"/>
      <c r="C364" s="385" t="n"/>
      <c r="D364" s="385" t="n"/>
      <c r="E364" s="385" t="n"/>
      <c r="F364" s="520" t="n"/>
      <c r="G364" s="520" t="n"/>
      <c r="H364" s="385" t="n"/>
    </row>
    <row r="365">
      <c r="A365" s="385" t="n"/>
      <c r="B365" s="385" t="n"/>
      <c r="C365" s="385" t="n"/>
      <c r="D365" s="385" t="n"/>
      <c r="E365" s="385" t="n"/>
      <c r="F365" s="520" t="n"/>
      <c r="G365" s="520" t="n"/>
      <c r="H365" s="385" t="n"/>
    </row>
    <row r="366">
      <c r="A366" s="385" t="n"/>
      <c r="B366" s="385" t="n"/>
      <c r="C366" s="385" t="n"/>
      <c r="D366" s="385" t="n"/>
      <c r="E366" s="385" t="n"/>
      <c r="F366" s="520" t="n"/>
      <c r="G366" s="520" t="n"/>
      <c r="H366" s="385" t="n"/>
    </row>
    <row r="367">
      <c r="A367" s="385" t="n"/>
      <c r="B367" s="385" t="n"/>
      <c r="C367" s="385" t="n"/>
      <c r="D367" s="385" t="n"/>
      <c r="E367" s="385" t="n"/>
      <c r="F367" s="520" t="n"/>
      <c r="G367" s="520" t="n"/>
      <c r="H367" s="385" t="n"/>
    </row>
    <row r="368">
      <c r="A368" s="385" t="n"/>
      <c r="B368" s="385" t="n"/>
      <c r="C368" s="385" t="n"/>
      <c r="D368" s="385" t="n"/>
      <c r="E368" s="385" t="n"/>
      <c r="F368" s="520" t="n"/>
      <c r="G368" s="520" t="n"/>
      <c r="H368" s="385" t="n"/>
    </row>
    <row r="369">
      <c r="A369" s="385" t="n"/>
      <c r="B369" s="385" t="n"/>
      <c r="C369" s="385" t="n"/>
      <c r="D369" s="385" t="n"/>
      <c r="E369" s="385" t="n"/>
      <c r="F369" s="520" t="n"/>
      <c r="G369" s="520" t="n"/>
      <c r="H369" s="385" t="n"/>
    </row>
    <row r="370">
      <c r="A370" s="385" t="n"/>
      <c r="B370" s="385" t="n"/>
      <c r="C370" s="385" t="n"/>
      <c r="D370" s="385" t="n"/>
      <c r="E370" s="385" t="n"/>
      <c r="F370" s="520" t="n"/>
      <c r="G370" s="520" t="n"/>
      <c r="H370" s="385" t="n"/>
    </row>
    <row r="371">
      <c r="A371" s="385" t="n"/>
      <c r="B371" s="385" t="n"/>
      <c r="C371" s="385" t="n"/>
      <c r="D371" s="385" t="n"/>
      <c r="E371" s="385" t="n"/>
      <c r="F371" s="520" t="n"/>
      <c r="G371" s="520" t="n"/>
      <c r="H371" s="385" t="n"/>
    </row>
    <row r="372">
      <c r="A372" s="385" t="n"/>
      <c r="B372" s="385" t="n"/>
      <c r="C372" s="385" t="n"/>
      <c r="D372" s="385" t="n"/>
      <c r="E372" s="385" t="n"/>
      <c r="F372" s="520" t="n"/>
      <c r="G372" s="520" t="n"/>
      <c r="H372" s="385" t="n"/>
    </row>
    <row r="373">
      <c r="A373" s="385" t="n"/>
      <c r="B373" s="385" t="n"/>
      <c r="C373" s="385" t="n"/>
      <c r="D373" s="385" t="n"/>
      <c r="E373" s="385" t="n"/>
      <c r="F373" s="520" t="n"/>
      <c r="G373" s="520" t="n"/>
      <c r="H373" s="385" t="n"/>
    </row>
    <row r="374">
      <c r="A374" s="385" t="n"/>
      <c r="B374" s="385" t="n"/>
      <c r="C374" s="385" t="n"/>
      <c r="D374" s="385" t="n"/>
      <c r="E374" s="385" t="n"/>
      <c r="F374" s="520" t="n"/>
      <c r="G374" s="520" t="n"/>
      <c r="H374" s="385" t="n"/>
    </row>
    <row r="375">
      <c r="A375" s="385" t="n"/>
      <c r="B375" s="385" t="n"/>
      <c r="C375" s="385" t="n"/>
      <c r="D375" s="385" t="n"/>
      <c r="E375" s="385" t="n"/>
      <c r="F375" s="520" t="n"/>
      <c r="G375" s="520" t="n"/>
      <c r="H375" s="385" t="n"/>
    </row>
    <row r="376">
      <c r="A376" s="385" t="n"/>
      <c r="B376" s="385" t="n"/>
      <c r="C376" s="385" t="n"/>
      <c r="D376" s="385" t="n"/>
      <c r="E376" s="385" t="n"/>
      <c r="F376" s="520" t="n"/>
      <c r="G376" s="520" t="n"/>
      <c r="H376" s="385" t="n"/>
    </row>
    <row r="377">
      <c r="A377" s="385" t="n"/>
      <c r="B377" s="385" t="n"/>
      <c r="C377" s="385" t="n"/>
      <c r="D377" s="385" t="n"/>
      <c r="E377" s="385" t="n"/>
      <c r="F377" s="520" t="n"/>
      <c r="G377" s="520" t="n"/>
      <c r="H377" s="385" t="n"/>
    </row>
    <row r="378">
      <c r="A378" s="385" t="n"/>
      <c r="B378" s="385" t="n"/>
      <c r="C378" s="385" t="n"/>
      <c r="D378" s="385" t="n"/>
      <c r="E378" s="385" t="n"/>
      <c r="F378" s="520" t="n"/>
      <c r="G378" s="520" t="n"/>
      <c r="H378" s="385" t="n"/>
    </row>
    <row r="379">
      <c r="A379" s="385" t="n"/>
      <c r="B379" s="385" t="n"/>
      <c r="C379" s="385" t="n"/>
      <c r="D379" s="385" t="n"/>
      <c r="E379" s="385" t="n"/>
      <c r="F379" s="520" t="n"/>
      <c r="G379" s="520" t="n"/>
      <c r="H379" s="385" t="n"/>
    </row>
    <row r="380">
      <c r="A380" s="385" t="n"/>
      <c r="B380" s="385" t="n"/>
      <c r="C380" s="385" t="n"/>
      <c r="D380" s="385" t="n"/>
      <c r="E380" s="385" t="n"/>
      <c r="F380" s="520" t="n"/>
      <c r="G380" s="520" t="n"/>
      <c r="H380" s="385" t="n"/>
    </row>
    <row r="381">
      <c r="A381" s="385" t="n"/>
      <c r="B381" s="385" t="n"/>
      <c r="C381" s="385" t="n"/>
      <c r="D381" s="385" t="n"/>
      <c r="E381" s="385" t="n"/>
      <c r="F381" s="520" t="n"/>
      <c r="G381" s="520" t="n"/>
      <c r="H381" s="385" t="n"/>
    </row>
    <row r="382">
      <c r="A382" s="385" t="n"/>
      <c r="B382" s="385" t="n"/>
      <c r="C382" s="385" t="n"/>
      <c r="D382" s="385" t="n"/>
      <c r="E382" s="385" t="n"/>
      <c r="F382" s="520" t="n"/>
      <c r="G382" s="520" t="n"/>
      <c r="H382" s="385" t="n"/>
    </row>
    <row r="383">
      <c r="A383" s="385" t="n"/>
      <c r="B383" s="385" t="n"/>
      <c r="C383" s="385" t="n"/>
      <c r="D383" s="385" t="n"/>
      <c r="E383" s="385" t="n"/>
      <c r="F383" s="520" t="n"/>
      <c r="G383" s="520" t="n"/>
      <c r="H383" s="385" t="n"/>
    </row>
    <row r="384">
      <c r="A384" s="385" t="n"/>
      <c r="B384" s="385" t="n"/>
      <c r="C384" s="385" t="n"/>
      <c r="D384" s="385" t="n"/>
      <c r="E384" s="385" t="n"/>
      <c r="F384" s="520" t="n"/>
      <c r="G384" s="520" t="n"/>
      <c r="H384" s="385" t="n"/>
    </row>
    <row r="385">
      <c r="A385" s="385" t="n"/>
      <c r="B385" s="385" t="n"/>
      <c r="C385" s="385" t="n"/>
      <c r="D385" s="385" t="n"/>
      <c r="E385" s="385" t="n"/>
      <c r="F385" s="520" t="n"/>
      <c r="G385" s="520" t="n"/>
      <c r="H385" s="385" t="n"/>
    </row>
    <row r="386">
      <c r="A386" s="385" t="n"/>
      <c r="B386" s="385" t="n"/>
      <c r="C386" s="385" t="n"/>
      <c r="D386" s="385" t="n"/>
      <c r="E386" s="385" t="n"/>
      <c r="F386" s="520" t="n"/>
      <c r="G386" s="520" t="n"/>
      <c r="H386" s="385" t="n"/>
    </row>
    <row r="387">
      <c r="A387" s="385" t="n"/>
      <c r="B387" s="385" t="n"/>
      <c r="C387" s="385" t="n"/>
      <c r="D387" s="385" t="n"/>
      <c r="E387" s="385" t="n"/>
      <c r="F387" s="520" t="n"/>
      <c r="G387" s="520" t="n"/>
      <c r="H387" s="385" t="n"/>
    </row>
    <row r="388">
      <c r="A388" s="385" t="n"/>
      <c r="B388" s="385" t="n"/>
      <c r="C388" s="385" t="n"/>
      <c r="D388" s="385" t="n"/>
      <c r="E388" s="385" t="n"/>
      <c r="F388" s="520" t="n"/>
      <c r="G388" s="520" t="n"/>
      <c r="H388" s="385" t="n"/>
    </row>
    <row r="389">
      <c r="A389" s="385" t="n"/>
      <c r="B389" s="385" t="n"/>
      <c r="C389" s="385" t="n"/>
      <c r="D389" s="385" t="n"/>
      <c r="E389" s="385" t="n"/>
      <c r="F389" s="520" t="n"/>
      <c r="G389" s="520" t="n"/>
      <c r="H389" s="385" t="n"/>
    </row>
    <row r="390">
      <c r="A390" s="385" t="n"/>
      <c r="B390" s="385" t="n"/>
      <c r="C390" s="385" t="n"/>
      <c r="D390" s="385" t="n"/>
      <c r="E390" s="385" t="n"/>
      <c r="F390" s="520" t="n"/>
      <c r="G390" s="520" t="n"/>
      <c r="H390" s="385" t="n"/>
    </row>
    <row r="391">
      <c r="A391" s="385" t="n"/>
      <c r="B391" s="385" t="n"/>
      <c r="C391" s="385" t="n"/>
      <c r="D391" s="385" t="n"/>
      <c r="E391" s="385" t="n"/>
      <c r="F391" s="520" t="n"/>
      <c r="G391" s="520" t="n"/>
      <c r="H391" s="385" t="n"/>
    </row>
    <row r="392">
      <c r="A392" s="385" t="n"/>
      <c r="B392" s="385" t="n"/>
      <c r="C392" s="385" t="n"/>
      <c r="D392" s="385" t="n"/>
      <c r="E392" s="385" t="n"/>
      <c r="F392" s="520" t="n"/>
      <c r="G392" s="520" t="n"/>
      <c r="H392" s="385" t="n"/>
    </row>
    <row r="393">
      <c r="A393" s="385" t="n"/>
      <c r="B393" s="385" t="n"/>
      <c r="C393" s="385" t="n"/>
      <c r="D393" s="385" t="n"/>
      <c r="E393" s="385" t="n"/>
      <c r="F393" s="520" t="n"/>
      <c r="G393" s="520" t="n"/>
      <c r="H393" s="385" t="n"/>
    </row>
    <row r="394">
      <c r="A394" s="385" t="n"/>
      <c r="B394" s="385" t="n"/>
      <c r="C394" s="385" t="n"/>
      <c r="D394" s="385" t="n"/>
      <c r="E394" s="385" t="n"/>
      <c r="F394" s="520" t="n"/>
      <c r="G394" s="520" t="n"/>
      <c r="H394" s="385" t="n"/>
    </row>
    <row r="395">
      <c r="A395" s="385" t="n"/>
      <c r="B395" s="385" t="n"/>
      <c r="C395" s="385" t="n"/>
      <c r="D395" s="385" t="n"/>
      <c r="E395" s="385" t="n"/>
      <c r="F395" s="520" t="n"/>
      <c r="G395" s="520" t="n"/>
      <c r="H395" s="385" t="n"/>
    </row>
    <row r="396">
      <c r="A396" s="385" t="n"/>
      <c r="B396" s="385" t="n"/>
      <c r="C396" s="385" t="n"/>
      <c r="D396" s="385" t="n"/>
      <c r="E396" s="385" t="n"/>
      <c r="F396" s="520" t="n"/>
      <c r="G396" s="520" t="n"/>
      <c r="H396" s="385" t="n"/>
    </row>
    <row r="397">
      <c r="A397" s="385" t="n"/>
      <c r="B397" s="385" t="n"/>
      <c r="C397" s="385" t="n"/>
      <c r="D397" s="385" t="n"/>
      <c r="E397" s="385" t="n"/>
      <c r="F397" s="520" t="n"/>
      <c r="G397" s="520" t="n"/>
      <c r="H397" s="385" t="n"/>
    </row>
    <row r="398">
      <c r="A398" s="385" t="n"/>
      <c r="B398" s="385" t="n"/>
      <c r="C398" s="385" t="n"/>
      <c r="D398" s="385" t="n"/>
      <c r="E398" s="385" t="n"/>
      <c r="F398" s="520" t="n"/>
      <c r="G398" s="520" t="n"/>
      <c r="H398" s="385" t="n"/>
    </row>
    <row r="399">
      <c r="A399" s="385" t="n"/>
      <c r="B399" s="385" t="n"/>
      <c r="C399" s="385" t="n"/>
      <c r="D399" s="385" t="n"/>
      <c r="E399" s="385" t="n"/>
      <c r="F399" s="520" t="n"/>
      <c r="G399" s="520" t="n"/>
      <c r="H399" s="385" t="n"/>
    </row>
    <row r="400">
      <c r="A400" s="385" t="n"/>
      <c r="B400" s="385" t="n"/>
      <c r="C400" s="385" t="n"/>
      <c r="D400" s="385" t="n"/>
      <c r="E400" s="385" t="n"/>
      <c r="F400" s="520" t="n"/>
      <c r="G400" s="520" t="n"/>
      <c r="H400" s="385" t="n"/>
    </row>
    <row r="401">
      <c r="A401" s="385" t="n"/>
      <c r="B401" s="385" t="n"/>
      <c r="C401" s="385" t="n"/>
      <c r="D401" s="385" t="n"/>
      <c r="E401" s="385" t="n"/>
      <c r="F401" s="520" t="n"/>
      <c r="G401" s="520" t="n"/>
      <c r="H401" s="385" t="n"/>
    </row>
    <row r="402">
      <c r="A402" s="385" t="n"/>
      <c r="B402" s="385" t="n"/>
      <c r="C402" s="385" t="n"/>
      <c r="D402" s="385" t="n"/>
      <c r="E402" s="385" t="n"/>
      <c r="F402" s="520" t="n"/>
      <c r="G402" s="520" t="n"/>
      <c r="H402" s="385" t="n"/>
    </row>
    <row r="403">
      <c r="A403" s="385" t="n"/>
      <c r="B403" s="385" t="n"/>
      <c r="C403" s="385" t="n"/>
      <c r="D403" s="385" t="n"/>
      <c r="E403" s="385" t="n"/>
      <c r="F403" s="520" t="n"/>
      <c r="G403" s="520" t="n"/>
      <c r="H403" s="385" t="n"/>
    </row>
    <row r="404">
      <c r="A404" s="385" t="n"/>
      <c r="B404" s="385" t="n"/>
      <c r="C404" s="385" t="n"/>
      <c r="D404" s="385" t="n"/>
      <c r="E404" s="385" t="n"/>
      <c r="F404" s="520" t="n"/>
      <c r="G404" s="520" t="n"/>
      <c r="H404" s="385" t="n"/>
    </row>
    <row r="405">
      <c r="A405" s="385" t="n"/>
      <c r="B405" s="385" t="n"/>
      <c r="C405" s="385" t="n"/>
      <c r="D405" s="385" t="n"/>
      <c r="E405" s="385" t="n"/>
      <c r="F405" s="520" t="n"/>
      <c r="G405" s="520" t="n"/>
      <c r="H405" s="385" t="n"/>
    </row>
    <row r="406">
      <c r="A406" s="385" t="n"/>
      <c r="B406" s="385" t="n"/>
      <c r="C406" s="385" t="n"/>
      <c r="D406" s="385" t="n"/>
      <c r="E406" s="385" t="n"/>
      <c r="F406" s="520" t="n"/>
      <c r="G406" s="520" t="n"/>
      <c r="H406" s="385" t="n"/>
    </row>
    <row r="407">
      <c r="A407" s="385" t="n"/>
      <c r="B407" s="385" t="n"/>
      <c r="C407" s="385" t="n"/>
      <c r="D407" s="385" t="n"/>
      <c r="E407" s="385" t="n"/>
      <c r="F407" s="520" t="n"/>
      <c r="G407" s="520" t="n"/>
      <c r="H407" s="385" t="n"/>
    </row>
    <row r="408">
      <c r="A408" s="385" t="n"/>
      <c r="B408" s="385" t="n"/>
      <c r="C408" s="385" t="n"/>
      <c r="D408" s="385" t="n"/>
      <c r="E408" s="385" t="n"/>
      <c r="F408" s="520" t="n"/>
      <c r="G408" s="520" t="n"/>
      <c r="H408" s="385" t="n"/>
    </row>
    <row r="409">
      <c r="A409" s="385" t="n"/>
      <c r="B409" s="385" t="n"/>
      <c r="C409" s="385" t="n"/>
      <c r="D409" s="385" t="n"/>
      <c r="E409" s="385" t="n"/>
      <c r="F409" s="520" t="n"/>
      <c r="G409" s="520" t="n"/>
      <c r="H409" s="385" t="n"/>
    </row>
    <row r="410">
      <c r="A410" s="385" t="n"/>
      <c r="B410" s="385" t="n"/>
      <c r="C410" s="385" t="n"/>
      <c r="D410" s="385" t="n"/>
      <c r="E410" s="385" t="n"/>
      <c r="F410" s="520" t="n"/>
      <c r="G410" s="520" t="n"/>
      <c r="H410" s="385" t="n"/>
    </row>
    <row r="411">
      <c r="A411" s="385" t="n"/>
      <c r="B411" s="385" t="n"/>
      <c r="C411" s="385" t="n"/>
      <c r="D411" s="385" t="n"/>
      <c r="E411" s="385" t="n"/>
      <c r="F411" s="520" t="n"/>
      <c r="G411" s="520" t="n"/>
      <c r="H411" s="385" t="n"/>
    </row>
    <row r="412">
      <c r="A412" s="385" t="n"/>
      <c r="B412" s="385" t="n"/>
      <c r="C412" s="385" t="n"/>
      <c r="D412" s="385" t="n"/>
      <c r="E412" s="385" t="n"/>
      <c r="F412" s="520" t="n"/>
      <c r="G412" s="520" t="n"/>
      <c r="H412" s="385" t="n"/>
    </row>
    <row r="413">
      <c r="A413" s="385" t="n"/>
      <c r="B413" s="385" t="n"/>
      <c r="C413" s="385" t="n"/>
      <c r="D413" s="385" t="n"/>
      <c r="E413" s="385" t="n"/>
      <c r="F413" s="520" t="n"/>
      <c r="G413" s="520" t="n"/>
      <c r="H413" s="385" t="n"/>
    </row>
    <row r="414">
      <c r="A414" s="385" t="n"/>
      <c r="B414" s="385" t="n"/>
      <c r="C414" s="385" t="n"/>
      <c r="D414" s="385" t="n"/>
      <c r="E414" s="385" t="n"/>
      <c r="F414" s="520" t="n"/>
      <c r="G414" s="520" t="n"/>
      <c r="H414" s="385" t="n"/>
    </row>
    <row r="415">
      <c r="A415" s="385" t="n"/>
      <c r="B415" s="385" t="n"/>
      <c r="C415" s="385" t="n"/>
      <c r="D415" s="385" t="n"/>
      <c r="E415" s="385" t="n"/>
      <c r="F415" s="520" t="n"/>
      <c r="G415" s="520" t="n"/>
      <c r="H415" s="385" t="n"/>
    </row>
    <row r="416">
      <c r="A416" s="385" t="n"/>
      <c r="B416" s="385" t="n"/>
      <c r="C416" s="385" t="n"/>
      <c r="D416" s="385" t="n"/>
      <c r="E416" s="385" t="n"/>
      <c r="F416" s="520" t="n"/>
      <c r="G416" s="520" t="n"/>
      <c r="H416" s="385" t="n"/>
    </row>
    <row r="417">
      <c r="A417" s="385" t="n"/>
      <c r="B417" s="385" t="n"/>
      <c r="C417" s="385" t="n"/>
      <c r="D417" s="385" t="n"/>
      <c r="E417" s="385" t="n"/>
      <c r="F417" s="520" t="n"/>
      <c r="G417" s="520" t="n"/>
      <c r="H417" s="385" t="n"/>
    </row>
    <row r="418">
      <c r="A418" s="385" t="n"/>
      <c r="B418" s="385" t="n"/>
      <c r="C418" s="385" t="n"/>
      <c r="D418" s="385" t="n"/>
      <c r="E418" s="385" t="n"/>
      <c r="F418" s="520" t="n"/>
      <c r="G418" s="520" t="n"/>
      <c r="H418" s="385" t="n"/>
    </row>
    <row r="419">
      <c r="A419" s="385" t="n"/>
      <c r="B419" s="385" t="n"/>
      <c r="C419" s="385" t="n"/>
      <c r="D419" s="385" t="n"/>
      <c r="E419" s="385" t="n"/>
      <c r="F419" s="520" t="n"/>
      <c r="G419" s="520" t="n"/>
      <c r="H419" s="385" t="n"/>
    </row>
    <row r="420">
      <c r="A420" s="385" t="n"/>
      <c r="B420" s="385" t="n"/>
      <c r="C420" s="385" t="n"/>
      <c r="D420" s="385" t="n"/>
      <c r="E420" s="385" t="n"/>
      <c r="F420" s="520" t="n"/>
      <c r="G420" s="520" t="n"/>
      <c r="H420" s="385" t="n"/>
    </row>
    <row r="421">
      <c r="A421" s="385" t="n"/>
      <c r="B421" s="385" t="n"/>
      <c r="C421" s="385" t="n"/>
      <c r="D421" s="385" t="n"/>
      <c r="E421" s="385" t="n"/>
      <c r="F421" s="520" t="n"/>
      <c r="G421" s="520" t="n"/>
      <c r="H421" s="385" t="n"/>
    </row>
    <row r="422">
      <c r="A422" s="385" t="n"/>
      <c r="B422" s="385" t="n"/>
      <c r="C422" s="385" t="n"/>
      <c r="D422" s="385" t="n"/>
      <c r="E422" s="385" t="n"/>
      <c r="F422" s="520" t="n"/>
      <c r="G422" s="520" t="n"/>
      <c r="H422" s="385" t="n"/>
    </row>
    <row r="423">
      <c r="A423" s="385" t="n"/>
      <c r="B423" s="385" t="n"/>
      <c r="C423" s="385" t="n"/>
      <c r="D423" s="385" t="n"/>
      <c r="E423" s="385" t="n"/>
      <c r="F423" s="520" t="n"/>
      <c r="G423" s="520" t="n"/>
      <c r="H423" s="385" t="n"/>
    </row>
    <row r="424">
      <c r="A424" s="385" t="n"/>
      <c r="B424" s="385" t="n"/>
      <c r="C424" s="385" t="n"/>
      <c r="D424" s="385" t="n"/>
      <c r="E424" s="385" t="n"/>
      <c r="F424" s="520" t="n"/>
      <c r="G424" s="520" t="n"/>
      <c r="H424" s="385" t="n"/>
    </row>
    <row r="425">
      <c r="A425" s="385" t="n"/>
      <c r="B425" s="385" t="n"/>
      <c r="C425" s="385" t="n"/>
      <c r="D425" s="385" t="n"/>
      <c r="E425" s="385" t="n"/>
      <c r="F425" s="520" t="n"/>
      <c r="G425" s="520" t="n"/>
      <c r="H425" s="385" t="n"/>
    </row>
    <row r="426">
      <c r="A426" s="385" t="n"/>
      <c r="B426" s="385" t="n"/>
      <c r="C426" s="385" t="n"/>
      <c r="D426" s="385" t="n"/>
      <c r="E426" s="385" t="n"/>
      <c r="F426" s="520" t="n"/>
      <c r="G426" s="520" t="n"/>
      <c r="H426" s="385" t="n"/>
    </row>
    <row r="427">
      <c r="A427" s="385" t="n"/>
      <c r="B427" s="385" t="n"/>
      <c r="C427" s="385" t="n"/>
      <c r="D427" s="385" t="n"/>
      <c r="E427" s="385" t="n"/>
      <c r="F427" s="520" t="n"/>
      <c r="G427" s="520" t="n"/>
      <c r="H427" s="385" t="n"/>
    </row>
    <row r="428">
      <c r="A428" s="385" t="n"/>
      <c r="B428" s="385" t="n"/>
      <c r="C428" s="385" t="n"/>
      <c r="D428" s="385" t="n"/>
      <c r="E428" s="385" t="n"/>
      <c r="F428" s="520" t="n"/>
      <c r="G428" s="520" t="n"/>
      <c r="H428" s="385" t="n"/>
    </row>
    <row r="429">
      <c r="A429" s="385" t="n"/>
      <c r="B429" s="385" t="n"/>
      <c r="C429" s="385" t="n"/>
      <c r="D429" s="385" t="n"/>
      <c r="E429" s="385" t="n"/>
      <c r="F429" s="520" t="n"/>
      <c r="G429" s="520" t="n"/>
      <c r="H429" s="385" t="n"/>
    </row>
    <row r="430">
      <c r="A430" s="385" t="n"/>
      <c r="B430" s="385" t="n"/>
      <c r="C430" s="385" t="n"/>
      <c r="D430" s="385" t="n"/>
      <c r="E430" s="385" t="n"/>
      <c r="F430" s="520" t="n"/>
      <c r="G430" s="520" t="n"/>
      <c r="H430" s="385" t="n"/>
    </row>
    <row r="431">
      <c r="A431" s="385" t="n"/>
      <c r="B431" s="385" t="n"/>
      <c r="C431" s="385" t="n"/>
      <c r="D431" s="385" t="n"/>
      <c r="E431" s="385" t="n"/>
      <c r="F431" s="520" t="n"/>
      <c r="G431" s="520" t="n"/>
      <c r="H431" s="385" t="n"/>
    </row>
    <row r="432">
      <c r="A432" s="385" t="n"/>
      <c r="B432" s="385" t="n"/>
      <c r="C432" s="385" t="n"/>
      <c r="D432" s="385" t="n"/>
      <c r="E432" s="385" t="n"/>
      <c r="F432" s="520" t="n"/>
      <c r="G432" s="520" t="n"/>
      <c r="H432" s="385" t="n"/>
    </row>
    <row r="433">
      <c r="A433" s="385" t="n"/>
      <c r="B433" s="385" t="n"/>
      <c r="C433" s="385" t="n"/>
      <c r="D433" s="385" t="n"/>
      <c r="E433" s="385" t="n"/>
      <c r="F433" s="520" t="n"/>
      <c r="G433" s="520" t="n"/>
      <c r="H433" s="385" t="n"/>
    </row>
    <row r="434">
      <c r="A434" s="385" t="n"/>
      <c r="B434" s="385" t="n"/>
      <c r="C434" s="385" t="n"/>
      <c r="D434" s="385" t="n"/>
      <c r="E434" s="385" t="n"/>
      <c r="F434" s="520" t="n"/>
      <c r="G434" s="520" t="n"/>
      <c r="H434" s="385" t="n"/>
    </row>
    <row r="435">
      <c r="A435" s="385" t="n"/>
      <c r="B435" s="385" t="n"/>
      <c r="C435" s="385" t="n"/>
      <c r="D435" s="385" t="n"/>
      <c r="E435" s="385" t="n"/>
      <c r="F435" s="520" t="n"/>
      <c r="G435" s="520" t="n"/>
      <c r="H435" s="385" t="n"/>
    </row>
    <row r="436">
      <c r="A436" s="385" t="n"/>
      <c r="B436" s="385" t="n"/>
      <c r="C436" s="385" t="n"/>
      <c r="D436" s="385" t="n"/>
      <c r="E436" s="385" t="n"/>
      <c r="F436" s="520" t="n"/>
      <c r="G436" s="520" t="n"/>
      <c r="H436" s="385" t="n"/>
    </row>
    <row r="437">
      <c r="A437" s="385" t="n"/>
      <c r="B437" s="385" t="n"/>
      <c r="C437" s="385" t="n"/>
      <c r="D437" s="385" t="n"/>
      <c r="E437" s="385" t="n"/>
      <c r="F437" s="520" t="n"/>
      <c r="G437" s="520" t="n"/>
      <c r="H437" s="385" t="n"/>
    </row>
    <row r="438">
      <c r="A438" s="385" t="n"/>
      <c r="B438" s="385" t="n"/>
      <c r="C438" s="385" t="n"/>
      <c r="D438" s="385" t="n"/>
      <c r="E438" s="385" t="n"/>
      <c r="F438" s="520" t="n"/>
      <c r="G438" s="520" t="n"/>
      <c r="H438" s="385" t="n"/>
    </row>
    <row r="439">
      <c r="A439" s="385" t="n"/>
      <c r="B439" s="385" t="n"/>
      <c r="C439" s="385" t="n"/>
      <c r="D439" s="385" t="n"/>
      <c r="E439" s="385" t="n"/>
      <c r="F439" s="520" t="n"/>
      <c r="G439" s="520" t="n"/>
      <c r="H439" s="385" t="n"/>
    </row>
    <row r="440">
      <c r="A440" s="385" t="n"/>
      <c r="B440" s="385" t="n"/>
      <c r="C440" s="385" t="n"/>
      <c r="D440" s="385" t="n"/>
      <c r="E440" s="385" t="n"/>
      <c r="F440" s="520" t="n"/>
      <c r="G440" s="520" t="n"/>
      <c r="H440" s="385" t="n"/>
    </row>
    <row r="441">
      <c r="A441" s="385" t="n"/>
      <c r="B441" s="385" t="n"/>
      <c r="C441" s="385" t="n"/>
      <c r="D441" s="385" t="n"/>
      <c r="E441" s="385" t="n"/>
      <c r="F441" s="520" t="n"/>
      <c r="G441" s="520" t="n"/>
      <c r="H441" s="385" t="n"/>
    </row>
    <row r="442">
      <c r="A442" s="385" t="n"/>
      <c r="B442" s="385" t="n"/>
      <c r="C442" s="385" t="n"/>
      <c r="D442" s="385" t="n"/>
      <c r="E442" s="385" t="n"/>
      <c r="F442" s="520" t="n"/>
      <c r="G442" s="520" t="n"/>
      <c r="H442" s="385" t="n"/>
    </row>
    <row r="443">
      <c r="A443" s="385" t="n"/>
      <c r="B443" s="385" t="n"/>
      <c r="C443" s="385" t="n"/>
      <c r="D443" s="385" t="n"/>
      <c r="E443" s="385" t="n"/>
      <c r="F443" s="520" t="n"/>
      <c r="G443" s="520" t="n"/>
      <c r="H443" s="385" t="n"/>
    </row>
    <row r="444">
      <c r="A444" s="385" t="n"/>
      <c r="B444" s="385" t="n"/>
      <c r="C444" s="385" t="n"/>
      <c r="D444" s="385" t="n"/>
      <c r="E444" s="385" t="n"/>
      <c r="F444" s="520" t="n"/>
      <c r="G444" s="520" t="n"/>
      <c r="H444" s="385" t="n"/>
    </row>
    <row r="445">
      <c r="A445" s="385" t="n"/>
      <c r="B445" s="385" t="n"/>
      <c r="C445" s="385" t="n"/>
      <c r="D445" s="385" t="n"/>
      <c r="E445" s="385" t="n"/>
      <c r="F445" s="520" t="n"/>
      <c r="G445" s="520" t="n"/>
      <c r="H445" s="385" t="n"/>
    </row>
    <row r="446">
      <c r="A446" s="385" t="n"/>
      <c r="B446" s="385" t="n"/>
      <c r="C446" s="385" t="n"/>
      <c r="D446" s="385" t="n"/>
      <c r="E446" s="385" t="n"/>
      <c r="F446" s="520" t="n"/>
      <c r="G446" s="520" t="n"/>
      <c r="H446" s="385" t="n"/>
    </row>
    <row r="447">
      <c r="A447" s="385" t="n"/>
      <c r="B447" s="385" t="n"/>
      <c r="C447" s="385" t="n"/>
      <c r="D447" s="385" t="n"/>
      <c r="E447" s="385" t="n"/>
      <c r="F447" s="520" t="n"/>
      <c r="G447" s="520" t="n"/>
      <c r="H447" s="385" t="n"/>
    </row>
    <row r="448">
      <c r="A448" s="385" t="n"/>
      <c r="B448" s="385" t="n"/>
      <c r="C448" s="385" t="n"/>
      <c r="D448" s="385" t="n"/>
      <c r="E448" s="385" t="n"/>
      <c r="F448" s="520" t="n"/>
      <c r="G448" s="520" t="n"/>
      <c r="H448" s="385" t="n"/>
    </row>
    <row r="449">
      <c r="A449" s="385" t="n"/>
      <c r="B449" s="385" t="n"/>
      <c r="C449" s="385" t="n"/>
      <c r="D449" s="385" t="n"/>
      <c r="E449" s="385" t="n"/>
      <c r="F449" s="520" t="n"/>
      <c r="G449" s="520" t="n"/>
      <c r="H449" s="385" t="n"/>
    </row>
    <row r="450">
      <c r="A450" s="385" t="n"/>
      <c r="B450" s="385" t="n"/>
      <c r="C450" s="385" t="n"/>
      <c r="D450" s="385" t="n"/>
      <c r="E450" s="385" t="n"/>
      <c r="F450" s="520" t="n"/>
      <c r="G450" s="520" t="n"/>
      <c r="H450" s="385" t="n"/>
    </row>
    <row r="451">
      <c r="A451" s="385" t="n"/>
      <c r="B451" s="385" t="n"/>
      <c r="C451" s="385" t="n"/>
      <c r="D451" s="385" t="n"/>
      <c r="E451" s="385" t="n"/>
      <c r="F451" s="520" t="n"/>
      <c r="G451" s="520" t="n"/>
      <c r="H451" s="385" t="n"/>
    </row>
    <row r="452">
      <c r="A452" s="385" t="n"/>
      <c r="B452" s="385" t="n"/>
      <c r="C452" s="385" t="n"/>
      <c r="D452" s="385" t="n"/>
      <c r="E452" s="385" t="n"/>
      <c r="F452" s="520" t="n"/>
      <c r="G452" s="520" t="n"/>
      <c r="H452" s="385" t="n"/>
    </row>
    <row r="453">
      <c r="A453" s="385" t="n"/>
      <c r="B453" s="385" t="n"/>
      <c r="C453" s="385" t="n"/>
      <c r="D453" s="385" t="n"/>
      <c r="E453" s="385" t="n"/>
      <c r="F453" s="520" t="n"/>
      <c r="G453" s="520" t="n"/>
      <c r="H453" s="385" t="n"/>
    </row>
    <row r="454">
      <c r="A454" s="385" t="n"/>
      <c r="B454" s="385" t="n"/>
      <c r="C454" s="385" t="n"/>
      <c r="D454" s="385" t="n"/>
      <c r="E454" s="385" t="n"/>
      <c r="F454" s="520" t="n"/>
      <c r="G454" s="520" t="n"/>
      <c r="H454" s="385" t="n"/>
    </row>
    <row r="455">
      <c r="A455" s="385" t="n"/>
      <c r="B455" s="385" t="n"/>
      <c r="C455" s="385" t="n"/>
      <c r="D455" s="385" t="n"/>
      <c r="E455" s="385" t="n"/>
      <c r="F455" s="520" t="n"/>
      <c r="G455" s="520" t="n"/>
      <c r="H455" s="385" t="n"/>
    </row>
    <row r="456">
      <c r="A456" s="385" t="n"/>
      <c r="B456" s="385" t="n"/>
      <c r="C456" s="385" t="n"/>
      <c r="D456" s="385" t="n"/>
      <c r="E456" s="385" t="n"/>
      <c r="F456" s="520" t="n"/>
      <c r="G456" s="520" t="n"/>
      <c r="H456" s="385" t="n"/>
    </row>
    <row r="457">
      <c r="A457" s="385" t="n"/>
      <c r="B457" s="385" t="n"/>
      <c r="C457" s="385" t="n"/>
      <c r="D457" s="385" t="n"/>
      <c r="E457" s="385" t="n"/>
      <c r="F457" s="520" t="n"/>
      <c r="G457" s="520" t="n"/>
      <c r="H457" s="385" t="n"/>
    </row>
    <row r="458">
      <c r="A458" s="385" t="n"/>
      <c r="B458" s="385" t="n"/>
      <c r="C458" s="385" t="n"/>
      <c r="D458" s="385" t="n"/>
      <c r="E458" s="385" t="n"/>
      <c r="F458" s="520" t="n"/>
      <c r="G458" s="520" t="n"/>
      <c r="H458" s="385" t="n"/>
    </row>
    <row r="459">
      <c r="A459" s="385" t="n"/>
      <c r="B459" s="385" t="n"/>
      <c r="C459" s="385" t="n"/>
      <c r="D459" s="385" t="n"/>
      <c r="E459" s="385" t="n"/>
      <c r="F459" s="520" t="n"/>
      <c r="G459" s="520" t="n"/>
      <c r="H459" s="385" t="n"/>
    </row>
    <row r="460">
      <c r="A460" s="385" t="n"/>
      <c r="B460" s="385" t="n"/>
      <c r="C460" s="385" t="n"/>
      <c r="D460" s="385" t="n"/>
      <c r="E460" s="385" t="n"/>
      <c r="F460" s="520" t="n"/>
      <c r="G460" s="520" t="n"/>
      <c r="H460" s="385" t="n"/>
    </row>
    <row r="461">
      <c r="A461" s="385" t="n"/>
      <c r="B461" s="385" t="n"/>
      <c r="C461" s="385" t="n"/>
      <c r="D461" s="385" t="n"/>
      <c r="E461" s="385" t="n"/>
      <c r="F461" s="520" t="n"/>
      <c r="G461" s="520" t="n"/>
      <c r="H461" s="385" t="n"/>
    </row>
    <row r="462">
      <c r="A462" s="385" t="n"/>
      <c r="B462" s="385" t="n"/>
      <c r="C462" s="385" t="n"/>
      <c r="D462" s="385" t="n"/>
      <c r="E462" s="385" t="n"/>
      <c r="F462" s="520" t="n"/>
      <c r="G462" s="520" t="n"/>
      <c r="H462" s="385" t="n"/>
    </row>
    <row r="463">
      <c r="A463" s="385" t="n"/>
      <c r="B463" s="385" t="n"/>
      <c r="C463" s="385" t="n"/>
      <c r="D463" s="385" t="n"/>
      <c r="E463" s="385" t="n"/>
      <c r="F463" s="520" t="n"/>
      <c r="G463" s="520" t="n"/>
      <c r="H463" s="385" t="n"/>
    </row>
    <row r="464">
      <c r="A464" s="385" t="n"/>
      <c r="B464" s="385" t="n"/>
      <c r="C464" s="385" t="n"/>
      <c r="D464" s="385" t="n"/>
      <c r="E464" s="385" t="n"/>
      <c r="F464" s="520" t="n"/>
      <c r="G464" s="520" t="n"/>
      <c r="H464" s="385" t="n"/>
    </row>
    <row r="465">
      <c r="A465" s="385" t="n"/>
      <c r="B465" s="385" t="n"/>
      <c r="C465" s="385" t="n"/>
      <c r="D465" s="385" t="n"/>
      <c r="E465" s="385" t="n"/>
      <c r="F465" s="520" t="n"/>
      <c r="G465" s="520" t="n"/>
      <c r="H465" s="385" t="n"/>
    </row>
    <row r="466">
      <c r="A466" s="385" t="n"/>
      <c r="B466" s="385" t="n"/>
      <c r="C466" s="385" t="n"/>
      <c r="D466" s="385" t="n"/>
      <c r="E466" s="385" t="n"/>
      <c r="F466" s="520" t="n"/>
      <c r="G466" s="520" t="n"/>
      <c r="H466" s="385" t="n"/>
    </row>
    <row r="467">
      <c r="A467" s="385" t="n"/>
      <c r="B467" s="385" t="n"/>
      <c r="C467" s="385" t="n"/>
      <c r="D467" s="385" t="n"/>
      <c r="E467" s="385" t="n"/>
      <c r="F467" s="520" t="n"/>
      <c r="G467" s="520" t="n"/>
      <c r="H467" s="385" t="n"/>
    </row>
    <row r="468">
      <c r="A468" s="385" t="n"/>
      <c r="B468" s="385" t="n"/>
      <c r="C468" s="385" t="n"/>
      <c r="D468" s="385" t="n"/>
      <c r="E468" s="385" t="n"/>
      <c r="F468" s="520" t="n"/>
      <c r="G468" s="520" t="n"/>
      <c r="H468" s="385" t="n"/>
    </row>
    <row r="469">
      <c r="A469" s="385" t="n"/>
      <c r="B469" s="385" t="n"/>
      <c r="C469" s="385" t="n"/>
      <c r="D469" s="385" t="n"/>
      <c r="E469" s="385" t="n"/>
      <c r="F469" s="520" t="n"/>
      <c r="G469" s="520" t="n"/>
      <c r="H469" s="385" t="n"/>
    </row>
    <row r="470">
      <c r="A470" s="385" t="n"/>
      <c r="B470" s="385" t="n"/>
      <c r="C470" s="385" t="n"/>
      <c r="D470" s="385" t="n"/>
      <c r="E470" s="385" t="n"/>
      <c r="F470" s="520" t="n"/>
      <c r="G470" s="520" t="n"/>
      <c r="H470" s="385" t="n"/>
    </row>
    <row r="471">
      <c r="A471" s="385" t="n"/>
      <c r="B471" s="385" t="n"/>
      <c r="C471" s="385" t="n"/>
      <c r="D471" s="385" t="n"/>
      <c r="E471" s="385" t="n"/>
      <c r="F471" s="520" t="n"/>
      <c r="G471" s="520" t="n"/>
      <c r="H471" s="385" t="n"/>
    </row>
    <row r="472">
      <c r="A472" s="385" t="n"/>
      <c r="B472" s="385" t="n"/>
      <c r="C472" s="385" t="n"/>
      <c r="D472" s="385" t="n"/>
      <c r="E472" s="385" t="n"/>
      <c r="F472" s="520" t="n"/>
      <c r="G472" s="520" t="n"/>
      <c r="H472" s="385" t="n"/>
    </row>
    <row r="473">
      <c r="A473" s="385" t="n"/>
      <c r="B473" s="385" t="n"/>
      <c r="C473" s="385" t="n"/>
      <c r="D473" s="385" t="n"/>
      <c r="E473" s="385" t="n"/>
      <c r="F473" s="520" t="n"/>
      <c r="G473" s="520" t="n"/>
      <c r="H473" s="385" t="n"/>
    </row>
    <row r="474">
      <c r="A474" s="385" t="n"/>
      <c r="B474" s="385" t="n"/>
      <c r="C474" s="385" t="n"/>
      <c r="D474" s="385" t="n"/>
      <c r="E474" s="385" t="n"/>
      <c r="F474" s="520" t="n"/>
      <c r="G474" s="520" t="n"/>
      <c r="H474" s="385" t="n"/>
    </row>
    <row r="475">
      <c r="A475" s="385" t="n"/>
      <c r="B475" s="385" t="n"/>
      <c r="C475" s="385" t="n"/>
      <c r="D475" s="385" t="n"/>
      <c r="E475" s="385" t="n"/>
      <c r="F475" s="520" t="n"/>
      <c r="G475" s="520" t="n"/>
      <c r="H475" s="385" t="n"/>
    </row>
    <row r="476">
      <c r="A476" s="385" t="n"/>
      <c r="B476" s="385" t="n"/>
      <c r="C476" s="385" t="n"/>
      <c r="D476" s="385" t="n"/>
      <c r="E476" s="385" t="n"/>
      <c r="F476" s="520" t="n"/>
      <c r="G476" s="520" t="n"/>
      <c r="H476" s="385" t="n"/>
    </row>
    <row r="477">
      <c r="A477" s="385" t="n"/>
      <c r="B477" s="385" t="n"/>
      <c r="C477" s="385" t="n"/>
      <c r="D477" s="385" t="n"/>
      <c r="E477" s="385" t="n"/>
      <c r="F477" s="520" t="n"/>
      <c r="G477" s="520" t="n"/>
      <c r="H477" s="385" t="n"/>
    </row>
    <row r="478">
      <c r="A478" s="385" t="n"/>
      <c r="B478" s="385" t="n"/>
      <c r="C478" s="385" t="n"/>
      <c r="D478" s="385" t="n"/>
      <c r="E478" s="385" t="n"/>
      <c r="F478" s="520" t="n"/>
      <c r="G478" s="520" t="n"/>
      <c r="H478" s="385" t="n"/>
    </row>
    <row r="479">
      <c r="A479" s="385" t="n"/>
      <c r="B479" s="385" t="n"/>
      <c r="C479" s="385" t="n"/>
      <c r="D479" s="385" t="n"/>
      <c r="E479" s="385" t="n"/>
      <c r="F479" s="520" t="n"/>
      <c r="G479" s="520" t="n"/>
      <c r="H479" s="385" t="n"/>
    </row>
    <row r="480">
      <c r="A480" s="385" t="n"/>
      <c r="B480" s="385" t="n"/>
      <c r="C480" s="385" t="n"/>
      <c r="D480" s="385" t="n"/>
      <c r="E480" s="385" t="n"/>
      <c r="F480" s="520" t="n"/>
      <c r="G480" s="520" t="n"/>
      <c r="H480" s="385" t="n"/>
    </row>
    <row r="481">
      <c r="A481" s="385" t="n"/>
      <c r="B481" s="385" t="n"/>
      <c r="C481" s="385" t="n"/>
      <c r="D481" s="385" t="n"/>
      <c r="E481" s="385" t="n"/>
      <c r="F481" s="520" t="n"/>
      <c r="G481" s="520" t="n"/>
      <c r="H481" s="385" t="n"/>
    </row>
    <row r="482">
      <c r="A482" s="385" t="n"/>
      <c r="B482" s="385" t="n"/>
      <c r="C482" s="385" t="n"/>
      <c r="D482" s="385" t="n"/>
      <c r="E482" s="385" t="n"/>
      <c r="F482" s="520" t="n"/>
      <c r="G482" s="520" t="n"/>
      <c r="H482" s="385" t="n"/>
    </row>
    <row r="483">
      <c r="A483" s="385" t="n"/>
      <c r="B483" s="385" t="n"/>
      <c r="C483" s="385" t="n"/>
      <c r="D483" s="385" t="n"/>
      <c r="E483" s="385" t="n"/>
      <c r="F483" s="520" t="n"/>
      <c r="G483" s="520" t="n"/>
      <c r="H483" s="385" t="n"/>
    </row>
    <row r="484">
      <c r="A484" s="385" t="n"/>
      <c r="B484" s="385" t="n"/>
      <c r="C484" s="385" t="n"/>
      <c r="D484" s="385" t="n"/>
      <c r="E484" s="385" t="n"/>
      <c r="F484" s="520" t="n"/>
      <c r="G484" s="520" t="n"/>
      <c r="H484" s="385" t="n"/>
    </row>
    <row r="485">
      <c r="A485" s="385" t="n"/>
      <c r="B485" s="385" t="n"/>
      <c r="C485" s="385" t="n"/>
      <c r="D485" s="385" t="n"/>
      <c r="E485" s="385" t="n"/>
      <c r="F485" s="520" t="n"/>
      <c r="G485" s="520" t="n"/>
      <c r="H485" s="385" t="n"/>
    </row>
    <row r="486">
      <c r="A486" s="385" t="n"/>
      <c r="B486" s="385" t="n"/>
      <c r="C486" s="385" t="n"/>
      <c r="D486" s="385" t="n"/>
      <c r="E486" s="385" t="n"/>
      <c r="F486" s="520" t="n"/>
      <c r="G486" s="520" t="n"/>
      <c r="H486" s="385" t="n"/>
    </row>
    <row r="487">
      <c r="A487" s="385" t="n"/>
      <c r="B487" s="385" t="n"/>
      <c r="C487" s="385" t="n"/>
      <c r="D487" s="385" t="n"/>
      <c r="E487" s="385" t="n"/>
      <c r="F487" s="520" t="n"/>
      <c r="G487" s="520" t="n"/>
      <c r="H487" s="385" t="n"/>
    </row>
    <row r="488">
      <c r="A488" s="385" t="n"/>
      <c r="B488" s="385" t="n"/>
      <c r="C488" s="385" t="n"/>
      <c r="D488" s="385" t="n"/>
      <c r="E488" s="385" t="n"/>
      <c r="F488" s="520" t="n"/>
      <c r="G488" s="520" t="n"/>
      <c r="H488" s="385" t="n"/>
    </row>
    <row r="489">
      <c r="A489" s="385" t="n"/>
      <c r="B489" s="385" t="n"/>
      <c r="C489" s="385" t="n"/>
      <c r="D489" s="385" t="n"/>
      <c r="E489" s="385" t="n"/>
      <c r="F489" s="520" t="n"/>
      <c r="G489" s="520" t="n"/>
      <c r="H489" s="385" t="n"/>
    </row>
    <row r="490">
      <c r="A490" s="385" t="n"/>
      <c r="B490" s="385" t="n"/>
      <c r="C490" s="385" t="n"/>
      <c r="D490" s="385" t="n"/>
      <c r="E490" s="385" t="n"/>
      <c r="F490" s="520" t="n"/>
      <c r="G490" s="520" t="n"/>
      <c r="H490" s="385" t="n"/>
    </row>
    <row r="491">
      <c r="A491" s="385" t="n"/>
      <c r="B491" s="385" t="n"/>
      <c r="C491" s="385" t="n"/>
      <c r="D491" s="385" t="n"/>
      <c r="E491" s="385" t="n"/>
      <c r="F491" s="520" t="n"/>
      <c r="G491" s="520" t="n"/>
      <c r="H491" s="385" t="n"/>
    </row>
    <row r="492">
      <c r="A492" s="385" t="n"/>
      <c r="B492" s="385" t="n"/>
      <c r="C492" s="385" t="n"/>
      <c r="D492" s="385" t="n"/>
      <c r="E492" s="385" t="n"/>
      <c r="F492" s="520" t="n"/>
      <c r="G492" s="520" t="n"/>
      <c r="H492" s="385" t="n"/>
    </row>
    <row r="493">
      <c r="A493" s="385" t="n"/>
      <c r="B493" s="385" t="n"/>
      <c r="C493" s="385" t="n"/>
      <c r="D493" s="385" t="n"/>
      <c r="E493" s="385" t="n"/>
      <c r="F493" s="520" t="n"/>
      <c r="G493" s="520" t="n"/>
      <c r="H493" s="385" t="n"/>
    </row>
    <row r="494">
      <c r="A494" s="385" t="n"/>
      <c r="B494" s="385" t="n"/>
      <c r="C494" s="385" t="n"/>
      <c r="D494" s="385" t="n"/>
      <c r="E494" s="385" t="n"/>
      <c r="F494" s="520" t="n"/>
      <c r="G494" s="520" t="n"/>
      <c r="H494" s="385" t="n"/>
    </row>
    <row r="495">
      <c r="A495" s="385" t="n"/>
      <c r="B495" s="385" t="n"/>
      <c r="C495" s="385" t="n"/>
      <c r="D495" s="385" t="n"/>
      <c r="E495" s="385" t="n"/>
      <c r="F495" s="520" t="n"/>
      <c r="G495" s="520" t="n"/>
      <c r="H495" s="385" t="n"/>
    </row>
    <row r="496">
      <c r="A496" s="385" t="n"/>
      <c r="B496" s="385" t="n"/>
      <c r="C496" s="385" t="n"/>
      <c r="D496" s="385" t="n"/>
      <c r="E496" s="385" t="n"/>
      <c r="F496" s="520" t="n"/>
      <c r="G496" s="520" t="n"/>
      <c r="H496" s="385" t="n"/>
    </row>
    <row r="497">
      <c r="A497" s="385" t="n"/>
      <c r="B497" s="385" t="n"/>
      <c r="C497" s="385" t="n"/>
      <c r="D497" s="385" t="n"/>
      <c r="E497" s="385" t="n"/>
      <c r="F497" s="520" t="n"/>
      <c r="G497" s="520" t="n"/>
      <c r="H497" s="385" t="n"/>
    </row>
    <row r="498">
      <c r="A498" s="385" t="n"/>
      <c r="B498" s="385" t="n"/>
      <c r="C498" s="385" t="n"/>
      <c r="D498" s="385" t="n"/>
      <c r="E498" s="385" t="n"/>
      <c r="F498" s="520" t="n"/>
      <c r="G498" s="520" t="n"/>
      <c r="H498" s="385" t="n"/>
    </row>
    <row r="499">
      <c r="A499" s="385" t="n"/>
      <c r="B499" s="385" t="n"/>
      <c r="C499" s="385" t="n"/>
      <c r="D499" s="385" t="n"/>
      <c r="E499" s="385" t="n"/>
      <c r="F499" s="520" t="n"/>
      <c r="G499" s="520" t="n"/>
      <c r="H499" s="385" t="n"/>
    </row>
    <row r="500">
      <c r="A500" s="385" t="n"/>
      <c r="B500" s="385" t="n"/>
      <c r="C500" s="385" t="n"/>
      <c r="D500" s="385" t="n"/>
      <c r="E500" s="385" t="n"/>
      <c r="F500" s="520" t="n"/>
      <c r="G500" s="520" t="n"/>
      <c r="H500" s="385" t="n"/>
    </row>
    <row r="501">
      <c r="A501" s="385" t="n"/>
      <c r="B501" s="385" t="n"/>
      <c r="C501" s="385" t="n"/>
      <c r="D501" s="385" t="n"/>
      <c r="E501" s="385" t="n"/>
      <c r="F501" s="520" t="n"/>
      <c r="G501" s="520" t="n"/>
      <c r="H501" s="385" t="n"/>
    </row>
    <row r="502">
      <c r="A502" s="385" t="n"/>
      <c r="B502" s="385" t="n"/>
      <c r="C502" s="385" t="n"/>
      <c r="D502" s="385" t="n"/>
      <c r="E502" s="385" t="n"/>
      <c r="F502" s="520" t="n"/>
      <c r="G502" s="520" t="n"/>
      <c r="H502" s="385" t="n"/>
    </row>
    <row r="503">
      <c r="A503" s="385" t="n"/>
      <c r="B503" s="385" t="n"/>
      <c r="C503" s="385" t="n"/>
      <c r="D503" s="385" t="n"/>
      <c r="E503" s="385" t="n"/>
      <c r="F503" s="520" t="n"/>
      <c r="G503" s="520" t="n"/>
      <c r="H503" s="385" t="n"/>
    </row>
    <row r="504">
      <c r="A504" s="385" t="n"/>
      <c r="B504" s="385" t="n"/>
      <c r="C504" s="385" t="n"/>
      <c r="D504" s="385" t="n"/>
      <c r="E504" s="385" t="n"/>
      <c r="F504" s="520" t="n"/>
      <c r="G504" s="520" t="n"/>
      <c r="H504" s="385" t="n"/>
    </row>
    <row r="505">
      <c r="A505" s="385" t="n"/>
      <c r="B505" s="385" t="n"/>
      <c r="C505" s="385" t="n"/>
      <c r="D505" s="385" t="n"/>
      <c r="E505" s="385" t="n"/>
      <c r="F505" s="520" t="n"/>
      <c r="G505" s="520" t="n"/>
      <c r="H505" s="385" t="n"/>
    </row>
    <row r="506">
      <c r="A506" s="385" t="n"/>
      <c r="B506" s="385" t="n"/>
      <c r="C506" s="385" t="n"/>
      <c r="D506" s="385" t="n"/>
      <c r="E506" s="385" t="n"/>
      <c r="F506" s="520" t="n"/>
      <c r="G506" s="520" t="n"/>
      <c r="H506" s="385" t="n"/>
    </row>
    <row r="507">
      <c r="A507" s="385" t="n"/>
      <c r="B507" s="385" t="n"/>
      <c r="C507" s="385" t="n"/>
      <c r="D507" s="385" t="n"/>
      <c r="E507" s="385" t="n"/>
      <c r="F507" s="520" t="n"/>
      <c r="G507" s="520" t="n"/>
      <c r="H507" s="385" t="n"/>
    </row>
    <row r="508">
      <c r="A508" s="385" t="n"/>
      <c r="B508" s="385" t="n"/>
      <c r="C508" s="385" t="n"/>
      <c r="D508" s="385" t="n"/>
      <c r="E508" s="385" t="n"/>
      <c r="F508" s="520" t="n"/>
      <c r="G508" s="520" t="n"/>
      <c r="H508" s="385" t="n"/>
    </row>
    <row r="509">
      <c r="A509" s="385" t="n"/>
      <c r="B509" s="385" t="n"/>
      <c r="C509" s="385" t="n"/>
      <c r="D509" s="385" t="n"/>
      <c r="E509" s="385" t="n"/>
      <c r="F509" s="520" t="n"/>
      <c r="G509" s="520" t="n"/>
      <c r="H509" s="385" t="n"/>
    </row>
    <row r="510">
      <c r="A510" s="385" t="n"/>
      <c r="B510" s="385" t="n"/>
      <c r="C510" s="385" t="n"/>
      <c r="D510" s="385" t="n"/>
      <c r="E510" s="385" t="n"/>
      <c r="F510" s="520" t="n"/>
      <c r="G510" s="520" t="n"/>
      <c r="H510" s="385" t="n"/>
    </row>
    <row r="511">
      <c r="A511" s="385" t="n"/>
      <c r="B511" s="385" t="n"/>
      <c r="C511" s="385" t="n"/>
      <c r="D511" s="385" t="n"/>
      <c r="E511" s="385" t="n"/>
      <c r="F511" s="520" t="n"/>
      <c r="G511" s="520" t="n"/>
      <c r="H511" s="385" t="n"/>
    </row>
    <row r="512">
      <c r="A512" s="385" t="n"/>
      <c r="B512" s="385" t="n"/>
      <c r="C512" s="385" t="n"/>
      <c r="D512" s="385" t="n"/>
      <c r="E512" s="385" t="n"/>
      <c r="F512" s="520" t="n"/>
      <c r="G512" s="520" t="n"/>
      <c r="H512" s="385" t="n"/>
    </row>
    <row r="513">
      <c r="A513" s="385" t="n"/>
      <c r="B513" s="385" t="n"/>
      <c r="C513" s="385" t="n"/>
      <c r="D513" s="385" t="n"/>
      <c r="E513" s="385" t="n"/>
      <c r="F513" s="520" t="n"/>
      <c r="G513" s="520" t="n"/>
      <c r="H513" s="385" t="n"/>
    </row>
    <row r="514">
      <c r="A514" s="385" t="n"/>
      <c r="B514" s="385" t="n"/>
      <c r="C514" s="385" t="n"/>
      <c r="D514" s="385" t="n"/>
      <c r="E514" s="385" t="n"/>
      <c r="F514" s="520" t="n"/>
      <c r="G514" s="520" t="n"/>
      <c r="H514" s="385" t="n"/>
    </row>
    <row r="515">
      <c r="A515" s="385" t="n"/>
      <c r="B515" s="385" t="n"/>
      <c r="C515" s="385" t="n"/>
      <c r="D515" s="385" t="n"/>
      <c r="E515" s="385" t="n"/>
      <c r="F515" s="520" t="n"/>
      <c r="G515" s="520" t="n"/>
      <c r="H515" s="385" t="n"/>
    </row>
    <row r="516">
      <c r="A516" s="385" t="n"/>
      <c r="B516" s="385" t="n"/>
      <c r="C516" s="385" t="n"/>
      <c r="D516" s="385" t="n"/>
      <c r="E516" s="385" t="n"/>
      <c r="F516" s="520" t="n"/>
      <c r="G516" s="520" t="n"/>
      <c r="H516" s="385" t="n"/>
    </row>
    <row r="517">
      <c r="A517" s="385" t="n"/>
      <c r="B517" s="385" t="n"/>
      <c r="C517" s="385" t="n"/>
      <c r="D517" s="385" t="n"/>
      <c r="E517" s="385" t="n"/>
      <c r="F517" s="520" t="n"/>
      <c r="G517" s="520" t="n"/>
      <c r="H517" s="385" t="n"/>
    </row>
    <row r="518">
      <c r="A518" s="385" t="n"/>
      <c r="B518" s="385" t="n"/>
      <c r="C518" s="385" t="n"/>
      <c r="D518" s="385" t="n"/>
      <c r="E518" s="385" t="n"/>
      <c r="F518" s="520" t="n"/>
      <c r="G518" s="520" t="n"/>
      <c r="H518" s="385" t="n"/>
    </row>
    <row r="519">
      <c r="A519" s="385" t="n"/>
      <c r="B519" s="385" t="n"/>
      <c r="C519" s="385" t="n"/>
      <c r="D519" s="385" t="n"/>
      <c r="E519" s="385" t="n"/>
      <c r="F519" s="520" t="n"/>
      <c r="G519" s="520" t="n"/>
      <c r="H519" s="385" t="n"/>
    </row>
    <row r="520">
      <c r="A520" s="385" t="n"/>
      <c r="B520" s="385" t="n"/>
      <c r="C520" s="385" t="n"/>
      <c r="D520" s="385" t="n"/>
      <c r="E520" s="385" t="n"/>
      <c r="F520" s="520" t="n"/>
      <c r="G520" s="520" t="n"/>
      <c r="H520" s="385" t="n"/>
    </row>
    <row r="521">
      <c r="A521" s="385" t="n"/>
      <c r="B521" s="385" t="n"/>
      <c r="C521" s="385" t="n"/>
      <c r="D521" s="385" t="n"/>
      <c r="E521" s="385" t="n"/>
      <c r="F521" s="520" t="n"/>
      <c r="G521" s="520" t="n"/>
      <c r="H521" s="385" t="n"/>
    </row>
    <row r="522">
      <c r="A522" s="385" t="n"/>
      <c r="B522" s="385" t="n"/>
      <c r="C522" s="385" t="n"/>
      <c r="D522" s="385" t="n"/>
      <c r="E522" s="385" t="n"/>
      <c r="F522" s="520" t="n"/>
      <c r="G522" s="520" t="n"/>
      <c r="H522" s="385" t="n"/>
    </row>
    <row r="523">
      <c r="A523" s="385" t="n"/>
      <c r="B523" s="385" t="n"/>
      <c r="C523" s="385" t="n"/>
      <c r="D523" s="385" t="n"/>
      <c r="E523" s="385" t="n"/>
      <c r="F523" s="520" t="n"/>
      <c r="G523" s="520" t="n"/>
      <c r="H523" s="385" t="n"/>
    </row>
    <row r="524">
      <c r="A524" s="385" t="n"/>
      <c r="B524" s="385" t="n"/>
      <c r="C524" s="385" t="n"/>
      <c r="D524" s="385" t="n"/>
      <c r="E524" s="385" t="n"/>
      <c r="F524" s="520" t="n"/>
      <c r="G524" s="520" t="n"/>
      <c r="H524" s="385" t="n"/>
    </row>
    <row r="525">
      <c r="A525" s="385" t="n"/>
      <c r="B525" s="385" t="n"/>
      <c r="C525" s="385" t="n"/>
      <c r="D525" s="385" t="n"/>
      <c r="E525" s="385" t="n"/>
      <c r="F525" s="520" t="n"/>
      <c r="G525" s="520" t="n"/>
      <c r="H525" s="385" t="n"/>
    </row>
    <row r="526">
      <c r="A526" s="385" t="n"/>
      <c r="B526" s="385" t="n"/>
      <c r="C526" s="385" t="n"/>
      <c r="D526" s="385" t="n"/>
      <c r="E526" s="385" t="n"/>
      <c r="F526" s="520" t="n"/>
      <c r="G526" s="520" t="n"/>
      <c r="H526" s="385" t="n"/>
    </row>
    <row r="527">
      <c r="A527" s="385" t="n"/>
      <c r="B527" s="385" t="n"/>
      <c r="C527" s="385" t="n"/>
      <c r="D527" s="385" t="n"/>
      <c r="E527" s="385" t="n"/>
      <c r="F527" s="520" t="n"/>
      <c r="G527" s="520" t="n"/>
      <c r="H527" s="385" t="n"/>
    </row>
    <row r="528">
      <c r="A528" s="385" t="n"/>
      <c r="B528" s="385" t="n"/>
      <c r="C528" s="385" t="n"/>
      <c r="D528" s="385" t="n"/>
      <c r="E528" s="385" t="n"/>
      <c r="F528" s="520" t="n"/>
      <c r="G528" s="520" t="n"/>
      <c r="H528" s="385" t="n"/>
    </row>
    <row r="529">
      <c r="A529" s="385" t="n"/>
      <c r="B529" s="385" t="n"/>
      <c r="C529" s="385" t="n"/>
      <c r="D529" s="385" t="n"/>
      <c r="E529" s="385" t="n"/>
      <c r="F529" s="520" t="n"/>
      <c r="G529" s="520" t="n"/>
      <c r="H529" s="385" t="n"/>
    </row>
    <row r="530">
      <c r="A530" s="385" t="n"/>
      <c r="B530" s="385" t="n"/>
      <c r="C530" s="385" t="n"/>
      <c r="D530" s="385" t="n"/>
      <c r="E530" s="385" t="n"/>
      <c r="F530" s="520" t="n"/>
      <c r="G530" s="520" t="n"/>
      <c r="H530" s="385" t="n"/>
    </row>
    <row r="531">
      <c r="A531" s="385" t="n"/>
      <c r="B531" s="385" t="n"/>
      <c r="C531" s="385" t="n"/>
      <c r="D531" s="385" t="n"/>
      <c r="E531" s="385" t="n"/>
      <c r="F531" s="520" t="n"/>
      <c r="G531" s="520" t="n"/>
      <c r="H531" s="385" t="n"/>
    </row>
    <row r="532">
      <c r="A532" s="385" t="n"/>
      <c r="B532" s="385" t="n"/>
      <c r="C532" s="385" t="n"/>
      <c r="D532" s="385" t="n"/>
      <c r="E532" s="385" t="n"/>
      <c r="F532" s="520" t="n"/>
      <c r="G532" s="520" t="n"/>
      <c r="H532" s="385" t="n"/>
    </row>
    <row r="533">
      <c r="A533" s="385" t="n"/>
      <c r="B533" s="385" t="n"/>
      <c r="C533" s="385" t="n"/>
      <c r="D533" s="385" t="n"/>
      <c r="E533" s="385" t="n"/>
      <c r="F533" s="520" t="n"/>
      <c r="G533" s="520" t="n"/>
      <c r="H533" s="385" t="n"/>
    </row>
    <row r="534">
      <c r="A534" s="385" t="n"/>
      <c r="B534" s="385" t="n"/>
      <c r="C534" s="385" t="n"/>
      <c r="D534" s="385" t="n"/>
      <c r="E534" s="385" t="n"/>
      <c r="F534" s="520" t="n"/>
      <c r="G534" s="520" t="n"/>
      <c r="H534" s="385" t="n"/>
    </row>
    <row r="535">
      <c r="A535" s="385" t="n"/>
      <c r="B535" s="385" t="n"/>
      <c r="C535" s="385" t="n"/>
      <c r="D535" s="385" t="n"/>
      <c r="E535" s="385" t="n"/>
      <c r="F535" s="520" t="n"/>
      <c r="G535" s="520" t="n"/>
      <c r="H535" s="385" t="n"/>
    </row>
    <row r="536">
      <c r="A536" s="385" t="n"/>
      <c r="B536" s="385" t="n"/>
      <c r="C536" s="385" t="n"/>
      <c r="D536" s="385" t="n"/>
      <c r="E536" s="385" t="n"/>
      <c r="F536" s="520" t="n"/>
      <c r="G536" s="520" t="n"/>
      <c r="H536" s="385" t="n"/>
    </row>
    <row r="537">
      <c r="A537" s="385" t="n"/>
      <c r="B537" s="385" t="n"/>
      <c r="C537" s="385" t="n"/>
      <c r="D537" s="385" t="n"/>
      <c r="E537" s="385" t="n"/>
      <c r="F537" s="520" t="n"/>
      <c r="G537" s="520" t="n"/>
      <c r="H537" s="385" t="n"/>
    </row>
    <row r="538">
      <c r="A538" s="385" t="n"/>
      <c r="B538" s="385" t="n"/>
      <c r="C538" s="385" t="n"/>
      <c r="D538" s="385" t="n"/>
      <c r="E538" s="385" t="n"/>
      <c r="F538" s="520" t="n"/>
      <c r="G538" s="520" t="n"/>
      <c r="H538" s="385" t="n"/>
    </row>
    <row r="539">
      <c r="A539" s="385" t="n"/>
      <c r="B539" s="385" t="n"/>
      <c r="C539" s="385" t="n"/>
      <c r="D539" s="385" t="n"/>
      <c r="E539" s="385" t="n"/>
      <c r="F539" s="520" t="n"/>
      <c r="G539" s="520" t="n"/>
      <c r="H539" s="385" t="n"/>
    </row>
    <row r="540">
      <c r="A540" s="385" t="n"/>
      <c r="B540" s="385" t="n"/>
      <c r="C540" s="385" t="n"/>
      <c r="D540" s="385" t="n"/>
      <c r="E540" s="385" t="n"/>
      <c r="F540" s="520" t="n"/>
      <c r="G540" s="520" t="n"/>
      <c r="H540" s="385" t="n"/>
    </row>
    <row r="541">
      <c r="A541" s="385" t="n"/>
      <c r="B541" s="385" t="n"/>
      <c r="C541" s="385" t="n"/>
      <c r="D541" s="385" t="n"/>
      <c r="E541" s="385" t="n"/>
      <c r="F541" s="520" t="n"/>
      <c r="G541" s="520" t="n"/>
      <c r="H541" s="385" t="n"/>
    </row>
    <row r="542">
      <c r="A542" s="385" t="n"/>
      <c r="B542" s="385" t="n"/>
      <c r="C542" s="385" t="n"/>
      <c r="D542" s="385" t="n"/>
      <c r="E542" s="385" t="n"/>
      <c r="F542" s="520" t="n"/>
      <c r="G542" s="520" t="n"/>
      <c r="H542" s="385" t="n"/>
    </row>
    <row r="543">
      <c r="A543" s="385" t="n"/>
      <c r="B543" s="385" t="n"/>
      <c r="C543" s="385" t="n"/>
      <c r="D543" s="385" t="n"/>
      <c r="E543" s="385" t="n"/>
      <c r="F543" s="520" t="n"/>
      <c r="G543" s="520" t="n"/>
      <c r="H543" s="385" t="n"/>
    </row>
    <row r="544">
      <c r="A544" s="385" t="n"/>
      <c r="B544" s="385" t="n"/>
      <c r="C544" s="385" t="n"/>
      <c r="D544" s="385" t="n"/>
      <c r="E544" s="385" t="n"/>
      <c r="F544" s="520" t="n"/>
      <c r="G544" s="520" t="n"/>
      <c r="H544" s="385" t="n"/>
    </row>
    <row r="545">
      <c r="A545" s="385" t="n"/>
      <c r="B545" s="385" t="n"/>
      <c r="C545" s="385" t="n"/>
      <c r="D545" s="385" t="n"/>
      <c r="E545" s="385" t="n"/>
      <c r="F545" s="520" t="n"/>
      <c r="G545" s="520" t="n"/>
      <c r="H545" s="385" t="n"/>
    </row>
    <row r="546">
      <c r="A546" s="385" t="n"/>
      <c r="B546" s="385" t="n"/>
      <c r="C546" s="385" t="n"/>
      <c r="D546" s="385" t="n"/>
      <c r="E546" s="385" t="n"/>
      <c r="F546" s="520" t="n"/>
      <c r="G546" s="520" t="n"/>
      <c r="H546" s="385" t="n"/>
    </row>
    <row r="547">
      <c r="A547" s="385" t="n"/>
      <c r="B547" s="385" t="n"/>
      <c r="C547" s="385" t="n"/>
      <c r="D547" s="385" t="n"/>
      <c r="E547" s="385" t="n"/>
      <c r="F547" s="520" t="n"/>
      <c r="G547" s="520" t="n"/>
      <c r="H547" s="385" t="n"/>
    </row>
    <row r="548">
      <c r="A548" s="385" t="n"/>
      <c r="B548" s="385" t="n"/>
      <c r="C548" s="385" t="n"/>
      <c r="D548" s="385" t="n"/>
      <c r="E548" s="385" t="n"/>
      <c r="F548" s="520" t="n"/>
      <c r="G548" s="520" t="n"/>
      <c r="H548" s="385" t="n"/>
    </row>
    <row r="549">
      <c r="A549" s="385" t="n"/>
      <c r="B549" s="385" t="n"/>
      <c r="C549" s="385" t="n"/>
      <c r="D549" s="385" t="n"/>
      <c r="E549" s="385" t="n"/>
      <c r="F549" s="520" t="n"/>
      <c r="G549" s="520" t="n"/>
      <c r="H549" s="385" t="n"/>
    </row>
    <row r="550">
      <c r="A550" s="385" t="n"/>
      <c r="B550" s="385" t="n"/>
      <c r="C550" s="385" t="n"/>
      <c r="D550" s="385" t="n"/>
      <c r="E550" s="385" t="n"/>
      <c r="F550" s="520" t="n"/>
      <c r="G550" s="520" t="n"/>
      <c r="H550" s="385" t="n"/>
    </row>
    <row r="551">
      <c r="A551" s="385" t="n"/>
      <c r="B551" s="385" t="n"/>
      <c r="C551" s="385" t="n"/>
      <c r="D551" s="385" t="n"/>
      <c r="E551" s="385" t="n"/>
      <c r="F551" s="520" t="n"/>
      <c r="G551" s="520" t="n"/>
      <c r="H551" s="385" t="n"/>
    </row>
    <row r="552">
      <c r="A552" s="385" t="n"/>
      <c r="B552" s="385" t="n"/>
      <c r="C552" s="385" t="n"/>
      <c r="D552" s="385" t="n"/>
      <c r="E552" s="385" t="n"/>
      <c r="F552" s="520" t="n"/>
      <c r="G552" s="520" t="n"/>
      <c r="H552" s="385" t="n"/>
    </row>
    <row r="553">
      <c r="A553" s="385" t="n"/>
      <c r="B553" s="385" t="n"/>
      <c r="C553" s="385" t="n"/>
      <c r="D553" s="385" t="n"/>
      <c r="E553" s="385" t="n"/>
      <c r="F553" s="520" t="n"/>
      <c r="G553" s="520" t="n"/>
      <c r="H553" s="385" t="n"/>
    </row>
    <row r="554">
      <c r="A554" s="385" t="n"/>
      <c r="B554" s="385" t="n"/>
      <c r="C554" s="385" t="n"/>
      <c r="D554" s="385" t="n"/>
      <c r="E554" s="385" t="n"/>
      <c r="F554" s="520" t="n"/>
      <c r="G554" s="520" t="n"/>
      <c r="H554" s="385" t="n"/>
    </row>
    <row r="555">
      <c r="A555" s="385" t="n"/>
      <c r="B555" s="385" t="n"/>
      <c r="C555" s="385" t="n"/>
      <c r="D555" s="385" t="n"/>
      <c r="E555" s="385" t="n"/>
      <c r="F555" s="520" t="n"/>
      <c r="G555" s="520" t="n"/>
      <c r="H555" s="385" t="n"/>
    </row>
    <row r="556">
      <c r="A556" s="385" t="n"/>
      <c r="B556" s="385" t="n"/>
      <c r="C556" s="385" t="n"/>
      <c r="D556" s="385" t="n"/>
      <c r="E556" s="385" t="n"/>
      <c r="F556" s="520" t="n"/>
      <c r="G556" s="520" t="n"/>
      <c r="H556" s="385" t="n"/>
    </row>
    <row r="557">
      <c r="A557" s="385" t="n"/>
      <c r="B557" s="385" t="n"/>
      <c r="C557" s="385" t="n"/>
      <c r="D557" s="385" t="n"/>
      <c r="E557" s="385" t="n"/>
      <c r="F557" s="520" t="n"/>
      <c r="G557" s="520" t="n"/>
      <c r="H557" s="385" t="n"/>
    </row>
    <row r="558">
      <c r="A558" s="385" t="n"/>
      <c r="B558" s="385" t="n"/>
      <c r="C558" s="385" t="n"/>
      <c r="D558" s="385" t="n"/>
      <c r="E558" s="385" t="n"/>
      <c r="F558" s="520" t="n"/>
      <c r="G558" s="520" t="n"/>
      <c r="H558" s="385" t="n"/>
    </row>
    <row r="559">
      <c r="A559" s="385" t="n"/>
      <c r="B559" s="385" t="n"/>
      <c r="C559" s="385" t="n"/>
      <c r="D559" s="385" t="n"/>
      <c r="E559" s="385" t="n"/>
      <c r="F559" s="520" t="n"/>
      <c r="G559" s="520" t="n"/>
      <c r="H559" s="385" t="n"/>
    </row>
    <row r="560">
      <c r="A560" s="385" t="n"/>
      <c r="B560" s="385" t="n"/>
      <c r="C560" s="385" t="n"/>
      <c r="D560" s="385" t="n"/>
      <c r="E560" s="385" t="n"/>
      <c r="F560" s="520" t="n"/>
      <c r="G560" s="520" t="n"/>
      <c r="H560" s="385" t="n"/>
    </row>
    <row r="561">
      <c r="A561" s="385" t="n"/>
      <c r="B561" s="385" t="n"/>
      <c r="C561" s="385" t="n"/>
      <c r="D561" s="385" t="n"/>
      <c r="E561" s="385" t="n"/>
      <c r="F561" s="520" t="n"/>
      <c r="G561" s="520" t="n"/>
      <c r="H561" s="385" t="n"/>
    </row>
    <row r="562">
      <c r="A562" s="385" t="n"/>
      <c r="B562" s="385" t="n"/>
      <c r="C562" s="385" t="n"/>
      <c r="D562" s="385" t="n"/>
      <c r="E562" s="385" t="n"/>
      <c r="F562" s="520" t="n"/>
      <c r="G562" s="520" t="n"/>
      <c r="H562" s="385" t="n"/>
    </row>
    <row r="563">
      <c r="A563" s="385" t="n"/>
      <c r="B563" s="385" t="n"/>
      <c r="C563" s="385" t="n"/>
      <c r="D563" s="385" t="n"/>
      <c r="E563" s="385" t="n"/>
      <c r="F563" s="520" t="n"/>
      <c r="G563" s="520" t="n"/>
      <c r="H563" s="385" t="n"/>
    </row>
    <row r="564">
      <c r="A564" s="385" t="n"/>
      <c r="B564" s="385" t="n"/>
      <c r="C564" s="385" t="n"/>
      <c r="D564" s="385" t="n"/>
      <c r="E564" s="385" t="n"/>
      <c r="F564" s="520" t="n"/>
      <c r="G564" s="520" t="n"/>
      <c r="H564" s="385" t="n"/>
    </row>
    <row r="565">
      <c r="A565" s="385" t="n"/>
      <c r="B565" s="385" t="n"/>
      <c r="C565" s="385" t="n"/>
      <c r="D565" s="385" t="n"/>
      <c r="E565" s="385" t="n"/>
      <c r="F565" s="520" t="n"/>
      <c r="G565" s="520" t="n"/>
      <c r="H565" s="385" t="n"/>
    </row>
    <row r="566">
      <c r="A566" s="385" t="n"/>
      <c r="B566" s="385" t="n"/>
      <c r="C566" s="385" t="n"/>
      <c r="D566" s="385" t="n"/>
      <c r="E566" s="385" t="n"/>
      <c r="F566" s="520" t="n"/>
      <c r="G566" s="520" t="n"/>
      <c r="H566" s="385" t="n"/>
    </row>
    <row r="567">
      <c r="A567" s="385" t="n"/>
      <c r="B567" s="385" t="n"/>
      <c r="C567" s="385" t="n"/>
      <c r="D567" s="385" t="n"/>
      <c r="E567" s="385" t="n"/>
      <c r="F567" s="520" t="n"/>
      <c r="G567" s="520" t="n"/>
      <c r="H567" s="385" t="n"/>
    </row>
    <row r="568">
      <c r="A568" s="385" t="n"/>
      <c r="B568" s="385" t="n"/>
      <c r="C568" s="385" t="n"/>
      <c r="D568" s="385" t="n"/>
      <c r="E568" s="385" t="n"/>
      <c r="F568" s="520" t="n"/>
      <c r="G568" s="520" t="n"/>
      <c r="H568" s="385" t="n"/>
    </row>
    <row r="569">
      <c r="A569" s="385" t="n"/>
      <c r="B569" s="385" t="n"/>
      <c r="C569" s="385" t="n"/>
      <c r="D569" s="385" t="n"/>
      <c r="E569" s="385" t="n"/>
      <c r="F569" s="520" t="n"/>
      <c r="G569" s="520" t="n"/>
      <c r="H569" s="385" t="n"/>
    </row>
    <row r="570">
      <c r="A570" s="385" t="n"/>
      <c r="B570" s="385" t="n"/>
      <c r="C570" s="385" t="n"/>
      <c r="D570" s="385" t="n"/>
      <c r="E570" s="385" t="n"/>
      <c r="F570" s="520" t="n"/>
      <c r="G570" s="520" t="n"/>
      <c r="H570" s="385" t="n"/>
    </row>
    <row r="571">
      <c r="A571" s="385" t="n"/>
      <c r="B571" s="385" t="n"/>
      <c r="C571" s="385" t="n"/>
      <c r="D571" s="385" t="n"/>
      <c r="E571" s="385" t="n"/>
      <c r="F571" s="520" t="n"/>
      <c r="G571" s="520" t="n"/>
      <c r="H571" s="385" t="n"/>
    </row>
    <row r="572">
      <c r="A572" s="385" t="n"/>
      <c r="B572" s="385" t="n"/>
      <c r="C572" s="385" t="n"/>
      <c r="D572" s="385" t="n"/>
      <c r="E572" s="385" t="n"/>
      <c r="F572" s="520" t="n"/>
      <c r="G572" s="520" t="n"/>
      <c r="H572" s="385" t="n"/>
    </row>
    <row r="573">
      <c r="A573" s="385" t="n"/>
      <c r="B573" s="385" t="n"/>
      <c r="C573" s="385" t="n"/>
      <c r="D573" s="385" t="n"/>
      <c r="E573" s="385" t="n"/>
      <c r="F573" s="520" t="n"/>
      <c r="G573" s="520" t="n"/>
      <c r="H573" s="385" t="n"/>
    </row>
    <row r="574">
      <c r="A574" s="385" t="n"/>
      <c r="B574" s="385" t="n"/>
      <c r="C574" s="385" t="n"/>
      <c r="D574" s="385" t="n"/>
      <c r="E574" s="385" t="n"/>
      <c r="F574" s="520" t="n"/>
      <c r="G574" s="520" t="n"/>
      <c r="H574" s="385" t="n"/>
    </row>
    <row r="575">
      <c r="A575" s="385" t="n"/>
      <c r="B575" s="385" t="n"/>
      <c r="C575" s="385" t="n"/>
      <c r="D575" s="385" t="n"/>
      <c r="E575" s="385" t="n"/>
      <c r="F575" s="520" t="n"/>
      <c r="G575" s="520" t="n"/>
      <c r="H575" s="385" t="n"/>
    </row>
    <row r="576">
      <c r="A576" s="385" t="n"/>
      <c r="B576" s="385" t="n"/>
      <c r="C576" s="385" t="n"/>
      <c r="D576" s="385" t="n"/>
      <c r="E576" s="385" t="n"/>
      <c r="F576" s="520" t="n"/>
      <c r="G576" s="520" t="n"/>
      <c r="H576" s="385" t="n"/>
    </row>
    <row r="577">
      <c r="A577" s="385" t="n"/>
      <c r="B577" s="385" t="n"/>
      <c r="C577" s="385" t="n"/>
      <c r="D577" s="385" t="n"/>
      <c r="E577" s="385" t="n"/>
      <c r="F577" s="520" t="n"/>
      <c r="G577" s="520" t="n"/>
      <c r="H577" s="385" t="n"/>
    </row>
    <row r="578">
      <c r="A578" s="385" t="n"/>
      <c r="B578" s="385" t="n"/>
      <c r="C578" s="385" t="n"/>
      <c r="D578" s="385" t="n"/>
      <c r="E578" s="385" t="n"/>
      <c r="F578" s="520" t="n"/>
      <c r="G578" s="520" t="n"/>
      <c r="H578" s="385" t="n"/>
    </row>
    <row r="579">
      <c r="A579" s="385" t="n"/>
      <c r="B579" s="385" t="n"/>
      <c r="C579" s="385" t="n"/>
      <c r="D579" s="385" t="n"/>
      <c r="E579" s="385" t="n"/>
      <c r="F579" s="520" t="n"/>
      <c r="G579" s="520" t="n"/>
      <c r="H579" s="385" t="n"/>
    </row>
    <row r="580">
      <c r="A580" s="385" t="n"/>
      <c r="B580" s="385" t="n"/>
      <c r="C580" s="385" t="n"/>
      <c r="D580" s="385" t="n"/>
      <c r="E580" s="385" t="n"/>
      <c r="F580" s="520" t="n"/>
      <c r="G580" s="520" t="n"/>
      <c r="H580" s="385" t="n"/>
    </row>
    <row r="581">
      <c r="A581" s="385" t="n"/>
      <c r="B581" s="385" t="n"/>
      <c r="C581" s="385" t="n"/>
      <c r="D581" s="385" t="n"/>
      <c r="E581" s="385" t="n"/>
      <c r="F581" s="520" t="n"/>
      <c r="G581" s="520" t="n"/>
      <c r="H581" s="385" t="n"/>
    </row>
    <row r="582">
      <c r="A582" s="385" t="n"/>
      <c r="B582" s="385" t="n"/>
      <c r="C582" s="385" t="n"/>
      <c r="D582" s="385" t="n"/>
      <c r="E582" s="385" t="n"/>
      <c r="F582" s="520" t="n"/>
      <c r="G582" s="520" t="n"/>
      <c r="H582" s="385" t="n"/>
    </row>
    <row r="583">
      <c r="A583" s="385" t="n"/>
      <c r="B583" s="385" t="n"/>
      <c r="C583" s="385" t="n"/>
      <c r="D583" s="385" t="n"/>
      <c r="E583" s="385" t="n"/>
      <c r="F583" s="520" t="n"/>
      <c r="G583" s="520" t="n"/>
      <c r="H583" s="385" t="n"/>
    </row>
    <row r="584">
      <c r="A584" s="385" t="n"/>
      <c r="B584" s="385" t="n"/>
      <c r="C584" s="385" t="n"/>
      <c r="D584" s="385" t="n"/>
      <c r="E584" s="385" t="n"/>
      <c r="F584" s="520" t="n"/>
      <c r="G584" s="520" t="n"/>
      <c r="H584" s="385" t="n"/>
    </row>
    <row r="585">
      <c r="A585" s="385" t="n"/>
      <c r="B585" s="385" t="n"/>
      <c r="C585" s="385" t="n"/>
      <c r="D585" s="385" t="n"/>
      <c r="E585" s="385" t="n"/>
      <c r="F585" s="520" t="n"/>
      <c r="G585" s="520" t="n"/>
      <c r="H585" s="385" t="n"/>
    </row>
    <row r="586">
      <c r="A586" s="385" t="n"/>
      <c r="B586" s="385" t="n"/>
      <c r="C586" s="385" t="n"/>
      <c r="D586" s="385" t="n"/>
      <c r="E586" s="385" t="n"/>
      <c r="F586" s="520" t="n"/>
      <c r="G586" s="520" t="n"/>
      <c r="H586" s="385" t="n"/>
    </row>
    <row r="587">
      <c r="A587" s="385" t="n"/>
      <c r="B587" s="385" t="n"/>
      <c r="C587" s="385" t="n"/>
      <c r="D587" s="385" t="n"/>
      <c r="E587" s="385" t="n"/>
      <c r="F587" s="520" t="n"/>
      <c r="G587" s="520" t="n"/>
      <c r="H587" s="385" t="n"/>
    </row>
    <row r="588">
      <c r="A588" s="385" t="n"/>
      <c r="B588" s="385" t="n"/>
      <c r="C588" s="385" t="n"/>
      <c r="D588" s="385" t="n"/>
      <c r="E588" s="385" t="n"/>
      <c r="F588" s="520" t="n"/>
      <c r="G588" s="520" t="n"/>
      <c r="H588" s="385" t="n"/>
    </row>
    <row r="589">
      <c r="A589" s="385" t="n"/>
      <c r="B589" s="385" t="n"/>
      <c r="C589" s="385" t="n"/>
      <c r="D589" s="385" t="n"/>
      <c r="E589" s="385" t="n"/>
      <c r="F589" s="520" t="n"/>
      <c r="G589" s="520" t="n"/>
      <c r="H589" s="385" t="n"/>
    </row>
    <row r="590">
      <c r="A590" s="385" t="n"/>
      <c r="B590" s="385" t="n"/>
      <c r="C590" s="385" t="n"/>
      <c r="D590" s="385" t="n"/>
      <c r="E590" s="385" t="n"/>
      <c r="F590" s="520" t="n"/>
      <c r="G590" s="520" t="n"/>
      <c r="H590" s="385" t="n"/>
    </row>
    <row r="591">
      <c r="A591" s="385" t="n"/>
      <c r="B591" s="385" t="n"/>
      <c r="C591" s="385" t="n"/>
      <c r="D591" s="385" t="n"/>
      <c r="E591" s="385" t="n"/>
      <c r="F591" s="520" t="n"/>
      <c r="G591" s="520" t="n"/>
      <c r="H591" s="385" t="n"/>
    </row>
    <row r="592">
      <c r="A592" s="385" t="n"/>
      <c r="B592" s="385" t="n"/>
      <c r="C592" s="385" t="n"/>
      <c r="D592" s="385" t="n"/>
      <c r="E592" s="385" t="n"/>
      <c r="F592" s="520" t="n"/>
      <c r="G592" s="520" t="n"/>
      <c r="H592" s="385" t="n"/>
    </row>
    <row r="593">
      <c r="A593" s="385" t="n"/>
      <c r="B593" s="385" t="n"/>
      <c r="C593" s="385" t="n"/>
      <c r="D593" s="385" t="n"/>
      <c r="E593" s="385" t="n"/>
      <c r="F593" s="520" t="n"/>
      <c r="G593" s="520" t="n"/>
      <c r="H593" s="385" t="n"/>
    </row>
    <row r="594">
      <c r="A594" s="385" t="n"/>
      <c r="B594" s="385" t="n"/>
      <c r="C594" s="385" t="n"/>
      <c r="D594" s="385" t="n"/>
      <c r="E594" s="385" t="n"/>
      <c r="F594" s="520" t="n"/>
      <c r="G594" s="520" t="n"/>
      <c r="H594" s="385" t="n"/>
    </row>
    <row r="595">
      <c r="A595" s="385" t="n"/>
      <c r="B595" s="385" t="n"/>
      <c r="C595" s="385" t="n"/>
      <c r="D595" s="385" t="n"/>
      <c r="E595" s="385" t="n"/>
      <c r="F595" s="520" t="n"/>
      <c r="G595" s="520" t="n"/>
      <c r="H595" s="385" t="n"/>
    </row>
    <row r="596">
      <c r="A596" s="385" t="n"/>
      <c r="B596" s="385" t="n"/>
      <c r="C596" s="385" t="n"/>
      <c r="D596" s="385" t="n"/>
      <c r="E596" s="385" t="n"/>
      <c r="F596" s="520" t="n"/>
      <c r="G596" s="520" t="n"/>
      <c r="H596" s="385" t="n"/>
    </row>
    <row r="597">
      <c r="A597" s="385" t="n"/>
      <c r="B597" s="385" t="n"/>
      <c r="C597" s="385" t="n"/>
      <c r="D597" s="385" t="n"/>
      <c r="E597" s="385" t="n"/>
      <c r="F597" s="520" t="n"/>
      <c r="G597" s="520" t="n"/>
      <c r="H597" s="385" t="n"/>
    </row>
    <row r="598">
      <c r="A598" s="385" t="n"/>
      <c r="B598" s="385" t="n"/>
      <c r="C598" s="385" t="n"/>
      <c r="D598" s="385" t="n"/>
      <c r="E598" s="385" t="n"/>
      <c r="F598" s="520" t="n"/>
      <c r="G598" s="520" t="n"/>
      <c r="H598" s="385" t="n"/>
    </row>
    <row r="599">
      <c r="A599" s="385" t="n"/>
      <c r="B599" s="385" t="n"/>
      <c r="C599" s="385" t="n"/>
      <c r="D599" s="385" t="n"/>
      <c r="E599" s="385" t="n"/>
      <c r="F599" s="520" t="n"/>
      <c r="G599" s="520" t="n"/>
      <c r="H599" s="385" t="n"/>
    </row>
    <row r="600">
      <c r="A600" s="385" t="n"/>
      <c r="B600" s="385" t="n"/>
      <c r="C600" s="385" t="n"/>
      <c r="D600" s="385" t="n"/>
      <c r="E600" s="385" t="n"/>
      <c r="F600" s="520" t="n"/>
      <c r="G600" s="520" t="n"/>
      <c r="H600" s="385" t="n"/>
    </row>
    <row r="601">
      <c r="A601" s="385" t="n"/>
      <c r="B601" s="385" t="n"/>
      <c r="C601" s="385" t="n"/>
      <c r="D601" s="385" t="n"/>
      <c r="E601" s="385" t="n"/>
      <c r="F601" s="520" t="n"/>
      <c r="G601" s="520" t="n"/>
      <c r="H601" s="385" t="n"/>
    </row>
    <row r="602">
      <c r="A602" s="385" t="n"/>
      <c r="B602" s="385" t="n"/>
      <c r="C602" s="385" t="n"/>
      <c r="D602" s="385" t="n"/>
      <c r="E602" s="385" t="n"/>
      <c r="F602" s="520" t="n"/>
      <c r="G602" s="520" t="n"/>
      <c r="H602" s="385" t="n"/>
    </row>
    <row r="603">
      <c r="A603" s="385" t="n"/>
      <c r="B603" s="385" t="n"/>
      <c r="C603" s="385" t="n"/>
      <c r="D603" s="385" t="n"/>
      <c r="E603" s="385" t="n"/>
      <c r="F603" s="520" t="n"/>
      <c r="G603" s="520" t="n"/>
      <c r="H603" s="385" t="n"/>
    </row>
    <row r="604">
      <c r="A604" s="385" t="n"/>
      <c r="B604" s="385" t="n"/>
      <c r="C604" s="385" t="n"/>
      <c r="D604" s="385" t="n"/>
      <c r="E604" s="385" t="n"/>
      <c r="F604" s="520" t="n"/>
      <c r="G604" s="520" t="n"/>
      <c r="H604" s="385" t="n"/>
    </row>
    <row r="605">
      <c r="A605" s="385" t="n"/>
      <c r="B605" s="385" t="n"/>
      <c r="C605" s="385" t="n"/>
      <c r="D605" s="385" t="n"/>
      <c r="E605" s="385" t="n"/>
      <c r="F605" s="520" t="n"/>
      <c r="G605" s="520" t="n"/>
      <c r="H605" s="385" t="n"/>
    </row>
    <row r="606">
      <c r="A606" s="385" t="n"/>
      <c r="B606" s="385" t="n"/>
      <c r="C606" s="385" t="n"/>
      <c r="D606" s="385" t="n"/>
      <c r="E606" s="385" t="n"/>
      <c r="F606" s="520" t="n"/>
      <c r="G606" s="520" t="n"/>
      <c r="H606" s="385" t="n"/>
    </row>
    <row r="607">
      <c r="A607" s="385" t="n"/>
      <c r="B607" s="385" t="n"/>
      <c r="C607" s="385" t="n"/>
      <c r="D607" s="385" t="n"/>
      <c r="E607" s="385" t="n"/>
      <c r="F607" s="520" t="n"/>
      <c r="G607" s="520" t="n"/>
      <c r="H607" s="385" t="n"/>
    </row>
    <row r="608">
      <c r="A608" s="385" t="n"/>
      <c r="B608" s="385" t="n"/>
      <c r="C608" s="385" t="n"/>
      <c r="D608" s="385" t="n"/>
      <c r="E608" s="385" t="n"/>
      <c r="F608" s="520" t="n"/>
      <c r="G608" s="520" t="n"/>
      <c r="H608" s="385" t="n"/>
    </row>
    <row r="609">
      <c r="A609" s="385" t="n"/>
      <c r="B609" s="385" t="n"/>
      <c r="C609" s="385" t="n"/>
      <c r="D609" s="385" t="n"/>
      <c r="E609" s="385" t="n"/>
      <c r="F609" s="520" t="n"/>
      <c r="G609" s="520" t="n"/>
      <c r="H609" s="385" t="n"/>
    </row>
    <row r="610">
      <c r="A610" s="385" t="n"/>
      <c r="B610" s="385" t="n"/>
      <c r="C610" s="385" t="n"/>
      <c r="D610" s="385" t="n"/>
      <c r="E610" s="385" t="n"/>
      <c r="F610" s="520" t="n"/>
      <c r="G610" s="520" t="n"/>
      <c r="H610" s="385" t="n"/>
    </row>
    <row r="611">
      <c r="A611" s="385" t="n"/>
      <c r="B611" s="385" t="n"/>
      <c r="C611" s="385" t="n"/>
      <c r="D611" s="385" t="n"/>
      <c r="E611" s="385" t="n"/>
      <c r="F611" s="520" t="n"/>
      <c r="G611" s="520" t="n"/>
      <c r="H611" s="385" t="n"/>
    </row>
    <row r="612">
      <c r="A612" s="385" t="n"/>
      <c r="B612" s="385" t="n"/>
      <c r="C612" s="385" t="n"/>
      <c r="D612" s="385" t="n"/>
      <c r="E612" s="385" t="n"/>
      <c r="F612" s="520" t="n"/>
      <c r="G612" s="520" t="n"/>
      <c r="H612" s="385" t="n"/>
    </row>
    <row r="613">
      <c r="A613" s="385" t="n"/>
      <c r="B613" s="385" t="n"/>
      <c r="C613" s="385" t="n"/>
      <c r="D613" s="385" t="n"/>
      <c r="E613" s="385" t="n"/>
      <c r="F613" s="520" t="n"/>
      <c r="G613" s="520" t="n"/>
      <c r="H613" s="385" t="n"/>
    </row>
    <row r="614">
      <c r="A614" s="385" t="n"/>
      <c r="B614" s="385" t="n"/>
      <c r="C614" s="385" t="n"/>
      <c r="D614" s="385" t="n"/>
      <c r="E614" s="385" t="n"/>
      <c r="F614" s="520" t="n"/>
      <c r="G614" s="520" t="n"/>
      <c r="H614" s="385" t="n"/>
    </row>
    <row r="615">
      <c r="A615" s="385" t="n"/>
      <c r="B615" s="385" t="n"/>
      <c r="C615" s="385" t="n"/>
      <c r="D615" s="385" t="n"/>
      <c r="E615" s="385" t="n"/>
      <c r="F615" s="520" t="n"/>
      <c r="G615" s="520" t="n"/>
      <c r="H615" s="385" t="n"/>
    </row>
    <row r="616">
      <c r="A616" s="385" t="n"/>
      <c r="B616" s="385" t="n"/>
      <c r="C616" s="385" t="n"/>
      <c r="D616" s="385" t="n"/>
      <c r="E616" s="385" t="n"/>
      <c r="F616" s="520" t="n"/>
      <c r="G616" s="520" t="n"/>
      <c r="H616" s="385" t="n"/>
    </row>
    <row r="617">
      <c r="A617" s="385" t="n"/>
      <c r="B617" s="385" t="n"/>
      <c r="C617" s="385" t="n"/>
      <c r="D617" s="385" t="n"/>
      <c r="E617" s="385" t="n"/>
      <c r="F617" s="520" t="n"/>
      <c r="G617" s="520" t="n"/>
      <c r="H617" s="385" t="n"/>
    </row>
    <row r="618">
      <c r="A618" s="385" t="n"/>
      <c r="B618" s="385" t="n"/>
      <c r="C618" s="385" t="n"/>
      <c r="D618" s="385" t="n"/>
      <c r="E618" s="385" t="n"/>
      <c r="F618" s="520" t="n"/>
      <c r="G618" s="520" t="n"/>
      <c r="H618" s="385" t="n"/>
    </row>
    <row r="619">
      <c r="A619" s="385" t="n"/>
      <c r="B619" s="385" t="n"/>
      <c r="C619" s="385" t="n"/>
      <c r="D619" s="385" t="n"/>
      <c r="E619" s="385" t="n"/>
      <c r="F619" s="520" t="n"/>
      <c r="G619" s="520" t="n"/>
      <c r="H619" s="385" t="n"/>
    </row>
    <row r="620">
      <c r="A620" s="385" t="n"/>
      <c r="B620" s="385" t="n"/>
      <c r="C620" s="385" t="n"/>
      <c r="D620" s="385" t="n"/>
      <c r="E620" s="385" t="n"/>
      <c r="F620" s="520" t="n"/>
      <c r="G620" s="520" t="n"/>
      <c r="H620" s="385" t="n"/>
    </row>
    <row r="621">
      <c r="A621" s="385" t="n"/>
      <c r="B621" s="385" t="n"/>
      <c r="C621" s="385" t="n"/>
      <c r="D621" s="385" t="n"/>
      <c r="E621" s="385" t="n"/>
      <c r="F621" s="520" t="n"/>
      <c r="G621" s="520" t="n"/>
      <c r="H621" s="385" t="n"/>
    </row>
    <row r="622">
      <c r="A622" s="385" t="n"/>
      <c r="B622" s="385" t="n"/>
      <c r="C622" s="385" t="n"/>
      <c r="D622" s="385" t="n"/>
      <c r="E622" s="385" t="n"/>
      <c r="F622" s="520" t="n"/>
      <c r="G622" s="520" t="n"/>
      <c r="H622" s="385" t="n"/>
    </row>
    <row r="623">
      <c r="A623" s="385" t="n"/>
      <c r="B623" s="385" t="n"/>
      <c r="C623" s="385" t="n"/>
      <c r="D623" s="385" t="n"/>
      <c r="E623" s="385" t="n"/>
      <c r="F623" s="520" t="n"/>
      <c r="G623" s="520" t="n"/>
      <c r="H623" s="385" t="n"/>
    </row>
    <row r="624">
      <c r="A624" s="385" t="n"/>
      <c r="B624" s="385" t="n"/>
      <c r="C624" s="385" t="n"/>
      <c r="D624" s="385" t="n"/>
      <c r="E624" s="385" t="n"/>
      <c r="F624" s="520" t="n"/>
      <c r="G624" s="520" t="n"/>
      <c r="H624" s="385" t="n"/>
    </row>
    <row r="625">
      <c r="A625" s="385" t="n"/>
      <c r="B625" s="385" t="n"/>
      <c r="C625" s="385" t="n"/>
      <c r="D625" s="385" t="n"/>
      <c r="E625" s="385" t="n"/>
      <c r="F625" s="520" t="n"/>
      <c r="G625" s="520" t="n"/>
      <c r="H625" s="385" t="n"/>
    </row>
    <row r="626">
      <c r="A626" s="385" t="n"/>
      <c r="B626" s="385" t="n"/>
      <c r="C626" s="385" t="n"/>
      <c r="D626" s="385" t="n"/>
      <c r="E626" s="385" t="n"/>
      <c r="F626" s="520" t="n"/>
      <c r="G626" s="520" t="n"/>
      <c r="H626" s="385" t="n"/>
    </row>
    <row r="627">
      <c r="A627" s="385" t="n"/>
      <c r="B627" s="385" t="n"/>
      <c r="C627" s="385" t="n"/>
      <c r="D627" s="385" t="n"/>
      <c r="E627" s="385" t="n"/>
      <c r="F627" s="520" t="n"/>
      <c r="G627" s="520" t="n"/>
      <c r="H627" s="385" t="n"/>
    </row>
    <row r="628">
      <c r="A628" s="385" t="n"/>
      <c r="B628" s="385" t="n"/>
      <c r="C628" s="385" t="n"/>
      <c r="D628" s="385" t="n"/>
      <c r="E628" s="385" t="n"/>
      <c r="F628" s="520" t="n"/>
      <c r="G628" s="520" t="n"/>
      <c r="H628" s="385" t="n"/>
    </row>
    <row r="629">
      <c r="A629" s="385" t="n"/>
      <c r="B629" s="385" t="n"/>
      <c r="C629" s="385" t="n"/>
      <c r="D629" s="385" t="n"/>
      <c r="E629" s="385" t="n"/>
      <c r="F629" s="520" t="n"/>
      <c r="G629" s="520" t="n"/>
      <c r="H629" s="385" t="n"/>
    </row>
    <row r="630">
      <c r="A630" s="385" t="n"/>
      <c r="B630" s="385" t="n"/>
      <c r="C630" s="385" t="n"/>
      <c r="D630" s="385" t="n"/>
      <c r="E630" s="385" t="n"/>
      <c r="F630" s="520" t="n"/>
      <c r="G630" s="520" t="n"/>
      <c r="H630" s="385" t="n"/>
    </row>
    <row r="631">
      <c r="A631" s="385" t="n"/>
      <c r="B631" s="385" t="n"/>
      <c r="C631" s="385" t="n"/>
      <c r="D631" s="385" t="n"/>
      <c r="E631" s="385" t="n"/>
      <c r="F631" s="520" t="n"/>
      <c r="G631" s="520" t="n"/>
      <c r="H631" s="385" t="n"/>
    </row>
    <row r="632">
      <c r="A632" s="385" t="n"/>
      <c r="B632" s="385" t="n"/>
      <c r="C632" s="385" t="n"/>
      <c r="D632" s="385" t="n"/>
      <c r="E632" s="385" t="n"/>
      <c r="F632" s="520" t="n"/>
      <c r="G632" s="520" t="n"/>
      <c r="H632" s="385" t="n"/>
    </row>
    <row r="633">
      <c r="A633" s="385" t="n"/>
      <c r="B633" s="385" t="n"/>
      <c r="C633" s="385" t="n"/>
      <c r="D633" s="385" t="n"/>
      <c r="E633" s="385" t="n"/>
      <c r="F633" s="520" t="n"/>
      <c r="G633" s="520" t="n"/>
      <c r="H633" s="385" t="n"/>
    </row>
    <row r="634">
      <c r="A634" s="385" t="n"/>
      <c r="B634" s="385" t="n"/>
      <c r="C634" s="385" t="n"/>
      <c r="D634" s="385" t="n"/>
      <c r="E634" s="385" t="n"/>
      <c r="F634" s="520" t="n"/>
      <c r="G634" s="520" t="n"/>
      <c r="H634" s="385" t="n"/>
    </row>
    <row r="635">
      <c r="A635" s="385" t="n"/>
      <c r="B635" s="385" t="n"/>
      <c r="C635" s="385" t="n"/>
      <c r="D635" s="385" t="n"/>
      <c r="E635" s="385" t="n"/>
      <c r="F635" s="520" t="n"/>
      <c r="G635" s="520" t="n"/>
      <c r="H635" s="385" t="n"/>
    </row>
    <row r="636">
      <c r="A636" s="385" t="n"/>
      <c r="B636" s="385" t="n"/>
      <c r="C636" s="385" t="n"/>
      <c r="D636" s="385" t="n"/>
      <c r="E636" s="385" t="n"/>
      <c r="F636" s="520" t="n"/>
      <c r="G636" s="520" t="n"/>
      <c r="H636" s="385" t="n"/>
    </row>
    <row r="637">
      <c r="A637" s="385" t="n"/>
      <c r="B637" s="385" t="n"/>
      <c r="C637" s="385" t="n"/>
      <c r="D637" s="385" t="n"/>
      <c r="E637" s="385" t="n"/>
      <c r="F637" s="520" t="n"/>
      <c r="G637" s="520" t="n"/>
      <c r="H637" s="385" t="n"/>
    </row>
    <row r="638">
      <c r="A638" s="385" t="n"/>
      <c r="B638" s="385" t="n"/>
      <c r="C638" s="385" t="n"/>
      <c r="D638" s="385" t="n"/>
      <c r="E638" s="385" t="n"/>
      <c r="F638" s="520" t="n"/>
      <c r="G638" s="520" t="n"/>
      <c r="H638" s="385" t="n"/>
    </row>
    <row r="639">
      <c r="A639" s="385" t="n"/>
      <c r="B639" s="385" t="n"/>
      <c r="C639" s="385" t="n"/>
      <c r="D639" s="385" t="n"/>
      <c r="E639" s="385" t="n"/>
      <c r="F639" s="520" t="n"/>
      <c r="G639" s="520" t="n"/>
      <c r="H639" s="385" t="n"/>
    </row>
    <row r="640">
      <c r="A640" s="385" t="n"/>
      <c r="B640" s="385" t="n"/>
      <c r="C640" s="385" t="n"/>
      <c r="D640" s="385" t="n"/>
      <c r="E640" s="385" t="n"/>
      <c r="F640" s="520" t="n"/>
      <c r="G640" s="520" t="n"/>
      <c r="H640" s="385" t="n"/>
    </row>
    <row r="641">
      <c r="A641" s="385" t="n"/>
      <c r="B641" s="385" t="n"/>
      <c r="C641" s="385" t="n"/>
      <c r="D641" s="385" t="n"/>
      <c r="E641" s="385" t="n"/>
      <c r="F641" s="520" t="n"/>
      <c r="G641" s="520" t="n"/>
      <c r="H641" s="385" t="n"/>
    </row>
    <row r="642">
      <c r="A642" s="385" t="n"/>
      <c r="B642" s="385" t="n"/>
      <c r="C642" s="385" t="n"/>
      <c r="D642" s="385" t="n"/>
      <c r="E642" s="385" t="n"/>
      <c r="F642" s="520" t="n"/>
      <c r="G642" s="520" t="n"/>
      <c r="H642" s="385" t="n"/>
    </row>
    <row r="643">
      <c r="A643" s="385" t="n"/>
      <c r="B643" s="385" t="n"/>
      <c r="C643" s="385" t="n"/>
      <c r="D643" s="385" t="n"/>
      <c r="E643" s="385" t="n"/>
      <c r="F643" s="520" t="n"/>
      <c r="G643" s="520" t="n"/>
      <c r="H643" s="385" t="n"/>
    </row>
    <row r="644">
      <c r="A644" s="385" t="n"/>
      <c r="B644" s="385" t="n"/>
      <c r="C644" s="385" t="n"/>
      <c r="D644" s="385" t="n"/>
      <c r="E644" s="385" t="n"/>
      <c r="F644" s="520" t="n"/>
      <c r="G644" s="520" t="n"/>
      <c r="H644" s="385" t="n"/>
    </row>
    <row r="645">
      <c r="A645" s="385" t="n"/>
      <c r="B645" s="385" t="n"/>
      <c r="C645" s="385" t="n"/>
      <c r="D645" s="385" t="n"/>
      <c r="E645" s="385" t="n"/>
      <c r="F645" s="520" t="n"/>
      <c r="G645" s="520" t="n"/>
      <c r="H645" s="385" t="n"/>
    </row>
    <row r="646">
      <c r="A646" s="385" t="n"/>
      <c r="B646" s="385" t="n"/>
      <c r="C646" s="385" t="n"/>
      <c r="D646" s="385" t="n"/>
      <c r="E646" s="385" t="n"/>
      <c r="F646" s="520" t="n"/>
      <c r="G646" s="520" t="n"/>
      <c r="H646" s="385" t="n"/>
    </row>
    <row r="647">
      <c r="A647" s="385" t="n"/>
      <c r="B647" s="385" t="n"/>
      <c r="C647" s="385" t="n"/>
      <c r="D647" s="385" t="n"/>
      <c r="E647" s="385" t="n"/>
      <c r="F647" s="520" t="n"/>
      <c r="G647" s="520" t="n"/>
      <c r="H647" s="385" t="n"/>
    </row>
    <row r="648">
      <c r="A648" s="385" t="n"/>
      <c r="B648" s="385" t="n"/>
      <c r="C648" s="385" t="n"/>
      <c r="D648" s="385" t="n"/>
      <c r="E648" s="385" t="n"/>
      <c r="F648" s="520" t="n"/>
      <c r="G648" s="520" t="n"/>
      <c r="H648" s="385" t="n"/>
    </row>
    <row r="649">
      <c r="A649" s="385" t="n"/>
      <c r="B649" s="385" t="n"/>
      <c r="C649" s="385" t="n"/>
      <c r="D649" s="385" t="n"/>
      <c r="E649" s="385" t="n"/>
      <c r="F649" s="520" t="n"/>
      <c r="G649" s="520" t="n"/>
      <c r="H649" s="385" t="n"/>
    </row>
    <row r="650">
      <c r="A650" s="385" t="n"/>
      <c r="B650" s="385" t="n"/>
      <c r="C650" s="385" t="n"/>
      <c r="D650" s="385" t="n"/>
      <c r="E650" s="385" t="n"/>
      <c r="F650" s="520" t="n"/>
      <c r="G650" s="520" t="n"/>
      <c r="H650" s="385" t="n"/>
    </row>
    <row r="651">
      <c r="A651" s="385" t="n"/>
      <c r="B651" s="385" t="n"/>
      <c r="C651" s="385" t="n"/>
      <c r="D651" s="385" t="n"/>
      <c r="E651" s="385" t="n"/>
      <c r="F651" s="520" t="n"/>
      <c r="G651" s="520" t="n"/>
      <c r="H651" s="385" t="n"/>
    </row>
    <row r="652">
      <c r="A652" s="385" t="n"/>
      <c r="B652" s="385" t="n"/>
      <c r="C652" s="385" t="n"/>
      <c r="D652" s="385" t="n"/>
      <c r="E652" s="385" t="n"/>
      <c r="F652" s="520" t="n"/>
      <c r="G652" s="520" t="n"/>
      <c r="H652" s="385" t="n"/>
    </row>
    <row r="653">
      <c r="A653" s="385" t="n"/>
      <c r="B653" s="385" t="n"/>
      <c r="C653" s="385" t="n"/>
      <c r="D653" s="385" t="n"/>
      <c r="E653" s="385" t="n"/>
      <c r="F653" s="520" t="n"/>
      <c r="G653" s="520" t="n"/>
      <c r="H653" s="385" t="n"/>
    </row>
    <row r="654">
      <c r="A654" s="385" t="n"/>
      <c r="B654" s="385" t="n"/>
      <c r="C654" s="385" t="n"/>
      <c r="D654" s="385" t="n"/>
      <c r="E654" s="385" t="n"/>
      <c r="F654" s="520" t="n"/>
      <c r="G654" s="520" t="n"/>
      <c r="H654" s="385" t="n"/>
    </row>
    <row r="655">
      <c r="A655" s="385" t="n"/>
      <c r="B655" s="385" t="n"/>
      <c r="C655" s="385" t="n"/>
      <c r="D655" s="385" t="n"/>
      <c r="E655" s="385" t="n"/>
      <c r="F655" s="520" t="n"/>
      <c r="G655" s="520" t="n"/>
      <c r="H655" s="385" t="n"/>
    </row>
    <row r="656">
      <c r="A656" s="385" t="n"/>
      <c r="B656" s="385" t="n"/>
      <c r="C656" s="385" t="n"/>
      <c r="D656" s="385" t="n"/>
      <c r="E656" s="385" t="n"/>
      <c r="F656" s="520" t="n"/>
      <c r="G656" s="520" t="n"/>
      <c r="H656" s="385" t="n"/>
    </row>
    <row r="657">
      <c r="A657" s="385" t="n"/>
      <c r="B657" s="385" t="n"/>
      <c r="C657" s="385" t="n"/>
      <c r="D657" s="385" t="n"/>
      <c r="E657" s="385" t="n"/>
      <c r="F657" s="520" t="n"/>
      <c r="G657" s="520" t="n"/>
      <c r="H657" s="385" t="n"/>
    </row>
    <row r="658">
      <c r="A658" s="385" t="n"/>
      <c r="B658" s="385" t="n"/>
      <c r="C658" s="385" t="n"/>
      <c r="D658" s="385" t="n"/>
      <c r="E658" s="385" t="n"/>
      <c r="F658" s="520" t="n"/>
      <c r="G658" s="520" t="n"/>
      <c r="H658" s="385" t="n"/>
    </row>
    <row r="659">
      <c r="A659" s="385" t="n"/>
      <c r="B659" s="385" t="n"/>
      <c r="C659" s="385" t="n"/>
      <c r="D659" s="385" t="n"/>
      <c r="E659" s="385" t="n"/>
      <c r="F659" s="520" t="n"/>
      <c r="G659" s="520" t="n"/>
      <c r="H659" s="385" t="n"/>
    </row>
    <row r="660">
      <c r="A660" s="385" t="n"/>
      <c r="B660" s="385" t="n"/>
      <c r="C660" s="385" t="n"/>
      <c r="D660" s="385" t="n"/>
      <c r="E660" s="385" t="n"/>
      <c r="F660" s="520" t="n"/>
      <c r="G660" s="520" t="n"/>
      <c r="H660" s="385" t="n"/>
    </row>
    <row r="661">
      <c r="A661" s="385" t="n"/>
      <c r="B661" s="385" t="n"/>
      <c r="C661" s="385" t="n"/>
      <c r="D661" s="385" t="n"/>
      <c r="E661" s="385" t="n"/>
      <c r="F661" s="520" t="n"/>
      <c r="G661" s="520" t="n"/>
      <c r="H661" s="385" t="n"/>
    </row>
    <row r="662">
      <c r="A662" s="385" t="n"/>
      <c r="B662" s="385" t="n"/>
      <c r="C662" s="385" t="n"/>
      <c r="D662" s="385" t="n"/>
      <c r="E662" s="385" t="n"/>
      <c r="F662" s="520" t="n"/>
      <c r="G662" s="520" t="n"/>
      <c r="H662" s="385" t="n"/>
    </row>
    <row r="663">
      <c r="A663" s="385" t="n"/>
      <c r="B663" s="385" t="n"/>
      <c r="C663" s="385" t="n"/>
      <c r="D663" s="385" t="n"/>
      <c r="E663" s="385" t="n"/>
      <c r="F663" s="520" t="n"/>
      <c r="G663" s="520" t="n"/>
      <c r="H663" s="385" t="n"/>
    </row>
    <row r="664">
      <c r="A664" s="385" t="n"/>
      <c r="B664" s="385" t="n"/>
      <c r="C664" s="385" t="n"/>
      <c r="D664" s="385" t="n"/>
      <c r="E664" s="385" t="n"/>
      <c r="F664" s="520" t="n"/>
      <c r="G664" s="520" t="n"/>
      <c r="H664" s="385" t="n"/>
    </row>
    <row r="665">
      <c r="A665" s="385" t="n"/>
      <c r="B665" s="385" t="n"/>
      <c r="C665" s="385" t="n"/>
      <c r="D665" s="385" t="n"/>
      <c r="E665" s="385" t="n"/>
      <c r="F665" s="520" t="n"/>
      <c r="G665" s="520" t="n"/>
      <c r="H665" s="385" t="n"/>
    </row>
    <row r="666">
      <c r="A666" s="385" t="n"/>
      <c r="B666" s="385" t="n"/>
      <c r="C666" s="385" t="n"/>
      <c r="D666" s="385" t="n"/>
      <c r="E666" s="385" t="n"/>
      <c r="F666" s="520" t="n"/>
      <c r="G666" s="520" t="n"/>
      <c r="H666" s="385" t="n"/>
    </row>
    <row r="667">
      <c r="A667" s="385" t="n"/>
      <c r="B667" s="385" t="n"/>
      <c r="C667" s="385" t="n"/>
      <c r="D667" s="385" t="n"/>
      <c r="E667" s="385" t="n"/>
      <c r="F667" s="520" t="n"/>
      <c r="G667" s="520" t="n"/>
      <c r="H667" s="385" t="n"/>
    </row>
    <row r="668">
      <c r="A668" s="385" t="n"/>
      <c r="B668" s="385" t="n"/>
      <c r="C668" s="385" t="n"/>
      <c r="D668" s="385" t="n"/>
      <c r="E668" s="385" t="n"/>
      <c r="F668" s="520" t="n"/>
      <c r="G668" s="520" t="n"/>
      <c r="H668" s="385" t="n"/>
    </row>
    <row r="669">
      <c r="A669" s="385" t="n"/>
      <c r="B669" s="385" t="n"/>
      <c r="C669" s="385" t="n"/>
      <c r="D669" s="385" t="n"/>
      <c r="E669" s="385" t="n"/>
      <c r="F669" s="520" t="n"/>
      <c r="G669" s="520" t="n"/>
      <c r="H669" s="385" t="n"/>
    </row>
    <row r="670">
      <c r="A670" s="385" t="n"/>
      <c r="B670" s="385" t="n"/>
      <c r="C670" s="385" t="n"/>
      <c r="D670" s="385" t="n"/>
      <c r="E670" s="385" t="n"/>
      <c r="F670" s="520" t="n"/>
      <c r="G670" s="520" t="n"/>
      <c r="H670" s="385" t="n"/>
    </row>
    <row r="671">
      <c r="A671" s="385" t="n"/>
      <c r="B671" s="385" t="n"/>
      <c r="C671" s="385" t="n"/>
      <c r="D671" s="385" t="n"/>
      <c r="E671" s="385" t="n"/>
      <c r="F671" s="520" t="n"/>
      <c r="G671" s="520" t="n"/>
      <c r="H671" s="385" t="n"/>
    </row>
    <row r="672">
      <c r="A672" s="385" t="n"/>
      <c r="B672" s="385" t="n"/>
      <c r="C672" s="385" t="n"/>
      <c r="D672" s="385" t="n"/>
      <c r="E672" s="385" t="n"/>
      <c r="F672" s="520" t="n"/>
      <c r="G672" s="520" t="n"/>
      <c r="H672" s="385" t="n"/>
    </row>
    <row r="673">
      <c r="A673" s="385" t="n"/>
      <c r="B673" s="385" t="n"/>
      <c r="C673" s="385" t="n"/>
      <c r="D673" s="385" t="n"/>
      <c r="E673" s="385" t="n"/>
      <c r="F673" s="520" t="n"/>
      <c r="G673" s="520" t="n"/>
      <c r="H673" s="385" t="n"/>
    </row>
    <row r="674">
      <c r="A674" s="385" t="n"/>
      <c r="B674" s="385" t="n"/>
      <c r="C674" s="385" t="n"/>
      <c r="D674" s="385" t="n"/>
      <c r="E674" s="385" t="n"/>
      <c r="F674" s="520" t="n"/>
      <c r="G674" s="520" t="n"/>
      <c r="H674" s="385" t="n"/>
    </row>
    <row r="675">
      <c r="A675" s="385" t="n"/>
      <c r="B675" s="385" t="n"/>
      <c r="C675" s="385" t="n"/>
      <c r="D675" s="385" t="n"/>
      <c r="E675" s="385" t="n"/>
      <c r="F675" s="520" t="n"/>
      <c r="G675" s="520" t="n"/>
      <c r="H675" s="385" t="n"/>
    </row>
    <row r="676">
      <c r="A676" s="385" t="n"/>
      <c r="B676" s="385" t="n"/>
      <c r="C676" s="385" t="n"/>
      <c r="D676" s="385" t="n"/>
      <c r="E676" s="385" t="n"/>
      <c r="F676" s="520" t="n"/>
      <c r="G676" s="520" t="n"/>
      <c r="H676" s="385" t="n"/>
    </row>
    <row r="677">
      <c r="A677" s="385" t="n"/>
      <c r="B677" s="385" t="n"/>
      <c r="C677" s="385" t="n"/>
      <c r="D677" s="385" t="n"/>
      <c r="E677" s="385" t="n"/>
      <c r="F677" s="520" t="n"/>
      <c r="G677" s="520" t="n"/>
      <c r="H677" s="385" t="n"/>
    </row>
    <row r="678">
      <c r="A678" s="385" t="n"/>
      <c r="B678" s="385" t="n"/>
      <c r="C678" s="385" t="n"/>
      <c r="D678" s="385" t="n"/>
      <c r="E678" s="385" t="n"/>
      <c r="F678" s="520" t="n"/>
      <c r="G678" s="520" t="n"/>
      <c r="H678" s="385" t="n"/>
    </row>
    <row r="679">
      <c r="A679" s="385" t="n"/>
      <c r="B679" s="385" t="n"/>
      <c r="C679" s="385" t="n"/>
      <c r="D679" s="385" t="n"/>
      <c r="E679" s="385" t="n"/>
      <c r="F679" s="520" t="n"/>
      <c r="G679" s="520" t="n"/>
      <c r="H679" s="385" t="n"/>
    </row>
    <row r="680">
      <c r="A680" s="385" t="n"/>
      <c r="B680" s="385" t="n"/>
      <c r="C680" s="385" t="n"/>
      <c r="D680" s="385" t="n"/>
      <c r="E680" s="385" t="n"/>
      <c r="F680" s="520" t="n"/>
      <c r="G680" s="520" t="n"/>
      <c r="H680" s="385" t="n"/>
    </row>
    <row r="681">
      <c r="A681" s="385" t="n"/>
      <c r="B681" s="385" t="n"/>
      <c r="C681" s="385" t="n"/>
      <c r="D681" s="385" t="n"/>
      <c r="E681" s="385" t="n"/>
      <c r="F681" s="520" t="n"/>
      <c r="G681" s="520" t="n"/>
      <c r="H681" s="385" t="n"/>
    </row>
    <row r="682">
      <c r="A682" s="385" t="n"/>
      <c r="B682" s="385" t="n"/>
      <c r="C682" s="385" t="n"/>
      <c r="D682" s="385" t="n"/>
      <c r="E682" s="385" t="n"/>
      <c r="F682" s="520" t="n"/>
      <c r="G682" s="520" t="n"/>
      <c r="H682" s="385" t="n"/>
    </row>
    <row r="683">
      <c r="A683" s="385" t="n"/>
      <c r="B683" s="385" t="n"/>
      <c r="C683" s="385" t="n"/>
      <c r="D683" s="385" t="n"/>
      <c r="E683" s="385" t="n"/>
      <c r="F683" s="520" t="n"/>
      <c r="G683" s="520" t="n"/>
      <c r="H683" s="385" t="n"/>
    </row>
    <row r="684">
      <c r="A684" s="385" t="n"/>
      <c r="B684" s="385" t="n"/>
      <c r="C684" s="385" t="n"/>
      <c r="D684" s="385" t="n"/>
      <c r="E684" s="385" t="n"/>
      <c r="F684" s="520" t="n"/>
      <c r="G684" s="520" t="n"/>
      <c r="H684" s="385" t="n"/>
    </row>
    <row r="685">
      <c r="A685" s="385" t="n"/>
      <c r="B685" s="385" t="n"/>
      <c r="C685" s="385" t="n"/>
      <c r="D685" s="385" t="n"/>
      <c r="E685" s="385" t="n"/>
      <c r="F685" s="520" t="n"/>
      <c r="G685" s="520" t="n"/>
      <c r="H685" s="385" t="n"/>
    </row>
    <row r="686">
      <c r="A686" s="385" t="n"/>
      <c r="B686" s="385" t="n"/>
      <c r="C686" s="385" t="n"/>
      <c r="D686" s="385" t="n"/>
      <c r="E686" s="385" t="n"/>
      <c r="F686" s="520" t="n"/>
      <c r="G686" s="520" t="n"/>
      <c r="H686" s="385" t="n"/>
    </row>
    <row r="687">
      <c r="A687" s="385" t="n"/>
      <c r="B687" s="385" t="n"/>
      <c r="C687" s="385" t="n"/>
      <c r="D687" s="385" t="n"/>
      <c r="E687" s="385" t="n"/>
      <c r="F687" s="520" t="n"/>
      <c r="G687" s="520" t="n"/>
      <c r="H687" s="385" t="n"/>
    </row>
    <row r="688">
      <c r="A688" s="385" t="n"/>
      <c r="B688" s="385" t="n"/>
      <c r="C688" s="385" t="n"/>
      <c r="D688" s="385" t="n"/>
      <c r="E688" s="385" t="n"/>
      <c r="F688" s="520" t="n"/>
      <c r="G688" s="520" t="n"/>
      <c r="H688" s="385" t="n"/>
    </row>
    <row r="689">
      <c r="A689" s="385" t="n"/>
      <c r="B689" s="385" t="n"/>
      <c r="C689" s="385" t="n"/>
      <c r="D689" s="385" t="n"/>
      <c r="E689" s="385" t="n"/>
      <c r="F689" s="520" t="n"/>
      <c r="G689" s="520" t="n"/>
      <c r="H689" s="385" t="n"/>
    </row>
    <row r="690">
      <c r="A690" s="385" t="n"/>
      <c r="B690" s="385" t="n"/>
      <c r="C690" s="385" t="n"/>
      <c r="D690" s="385" t="n"/>
      <c r="E690" s="385" t="n"/>
      <c r="F690" s="520" t="n"/>
      <c r="G690" s="520" t="n"/>
      <c r="H690" s="385" t="n"/>
    </row>
    <row r="691">
      <c r="A691" s="385" t="n"/>
      <c r="B691" s="385" t="n"/>
      <c r="C691" s="385" t="n"/>
      <c r="D691" s="385" t="n"/>
      <c r="E691" s="385" t="n"/>
      <c r="F691" s="520" t="n"/>
      <c r="G691" s="520" t="n"/>
      <c r="H691" s="385" t="n"/>
    </row>
    <row r="692">
      <c r="A692" s="385" t="n"/>
      <c r="B692" s="385" t="n"/>
      <c r="C692" s="385" t="n"/>
      <c r="D692" s="385" t="n"/>
      <c r="E692" s="385" t="n"/>
      <c r="F692" s="520" t="n"/>
      <c r="G692" s="520" t="n"/>
      <c r="H692" s="385" t="n"/>
    </row>
    <row r="693">
      <c r="A693" s="385" t="n"/>
      <c r="B693" s="385" t="n"/>
      <c r="C693" s="385" t="n"/>
      <c r="D693" s="385" t="n"/>
      <c r="E693" s="385" t="n"/>
      <c r="F693" s="520" t="n"/>
      <c r="G693" s="520" t="n"/>
      <c r="H693" s="385" t="n"/>
    </row>
    <row r="694">
      <c r="A694" s="385" t="n"/>
      <c r="B694" s="385" t="n"/>
      <c r="C694" s="385" t="n"/>
      <c r="D694" s="385" t="n"/>
      <c r="E694" s="385" t="n"/>
      <c r="F694" s="520" t="n"/>
      <c r="G694" s="520" t="n"/>
      <c r="H694" s="385" t="n"/>
    </row>
    <row r="695">
      <c r="A695" s="385" t="n"/>
      <c r="B695" s="385" t="n"/>
      <c r="C695" s="385" t="n"/>
      <c r="D695" s="385" t="n"/>
      <c r="E695" s="385" t="n"/>
      <c r="F695" s="520" t="n"/>
      <c r="G695" s="520" t="n"/>
      <c r="H695" s="385" t="n"/>
    </row>
    <row r="696">
      <c r="A696" s="385" t="n"/>
      <c r="B696" s="385" t="n"/>
      <c r="C696" s="385" t="n"/>
      <c r="D696" s="385" t="n"/>
      <c r="E696" s="385" t="n"/>
      <c r="F696" s="520" t="n"/>
      <c r="G696" s="520" t="n"/>
      <c r="H696" s="385" t="n"/>
    </row>
    <row r="697">
      <c r="A697" s="385" t="n"/>
      <c r="B697" s="385" t="n"/>
      <c r="C697" s="385" t="n"/>
      <c r="D697" s="385" t="n"/>
      <c r="E697" s="385" t="n"/>
      <c r="F697" s="520" t="n"/>
      <c r="G697" s="520" t="n"/>
      <c r="H697" s="385" t="n"/>
    </row>
    <row r="698">
      <c r="A698" s="385" t="n"/>
      <c r="B698" s="385" t="n"/>
      <c r="C698" s="385" t="n"/>
      <c r="D698" s="385" t="n"/>
      <c r="E698" s="385" t="n"/>
      <c r="F698" s="520" t="n"/>
      <c r="G698" s="520" t="n"/>
      <c r="H698" s="385" t="n"/>
    </row>
    <row r="699">
      <c r="A699" s="385" t="n"/>
      <c r="B699" s="385" t="n"/>
      <c r="C699" s="385" t="n"/>
      <c r="D699" s="385" t="n"/>
      <c r="E699" s="385" t="n"/>
      <c r="F699" s="520" t="n"/>
      <c r="G699" s="520" t="n"/>
      <c r="H699" s="385" t="n"/>
    </row>
    <row r="700">
      <c r="A700" s="385" t="n"/>
      <c r="B700" s="385" t="n"/>
      <c r="C700" s="385" t="n"/>
      <c r="D700" s="385" t="n"/>
      <c r="E700" s="385" t="n"/>
      <c r="F700" s="520" t="n"/>
      <c r="G700" s="520" t="n"/>
      <c r="H700" s="385" t="n"/>
    </row>
    <row r="701">
      <c r="A701" s="385" t="n"/>
      <c r="B701" s="385" t="n"/>
      <c r="C701" s="385" t="n"/>
      <c r="D701" s="385" t="n"/>
      <c r="E701" s="385" t="n"/>
      <c r="F701" s="520" t="n"/>
      <c r="G701" s="520" t="n"/>
      <c r="H701" s="385" t="n"/>
    </row>
    <row r="702">
      <c r="A702" s="385" t="n"/>
      <c r="B702" s="385" t="n"/>
      <c r="C702" s="385" t="n"/>
      <c r="D702" s="385" t="n"/>
      <c r="E702" s="385" t="n"/>
      <c r="F702" s="520" t="n"/>
      <c r="G702" s="520" t="n"/>
      <c r="H702" s="385" t="n"/>
    </row>
    <row r="703">
      <c r="A703" s="385" t="n"/>
      <c r="B703" s="385" t="n"/>
      <c r="C703" s="385" t="n"/>
      <c r="D703" s="385" t="n"/>
      <c r="E703" s="385" t="n"/>
      <c r="F703" s="520" t="n"/>
      <c r="G703" s="520" t="n"/>
      <c r="H703" s="385" t="n"/>
    </row>
    <row r="704">
      <c r="A704" s="385" t="n"/>
      <c r="B704" s="385" t="n"/>
      <c r="C704" s="385" t="n"/>
      <c r="D704" s="385" t="n"/>
      <c r="E704" s="385" t="n"/>
      <c r="F704" s="520" t="n"/>
      <c r="G704" s="520" t="n"/>
      <c r="H704" s="385" t="n"/>
    </row>
    <row r="705">
      <c r="A705" s="385" t="n"/>
      <c r="B705" s="385" t="n"/>
      <c r="C705" s="385" t="n"/>
      <c r="D705" s="385" t="n"/>
      <c r="E705" s="385" t="n"/>
      <c r="F705" s="520" t="n"/>
      <c r="G705" s="520" t="n"/>
      <c r="H705" s="385" t="n"/>
    </row>
    <row r="706">
      <c r="A706" s="385" t="n"/>
      <c r="B706" s="385" t="n"/>
      <c r="C706" s="385" t="n"/>
      <c r="D706" s="385" t="n"/>
      <c r="E706" s="385" t="n"/>
      <c r="F706" s="520" t="n"/>
      <c r="G706" s="520" t="n"/>
      <c r="H706" s="385" t="n"/>
    </row>
    <row r="707">
      <c r="A707" s="385" t="n"/>
      <c r="B707" s="385" t="n"/>
      <c r="C707" s="385" t="n"/>
      <c r="D707" s="385" t="n"/>
      <c r="E707" s="385" t="n"/>
      <c r="F707" s="520" t="n"/>
      <c r="G707" s="520" t="n"/>
      <c r="H707" s="385" t="n"/>
    </row>
    <row r="708">
      <c r="A708" s="385" t="n"/>
      <c r="B708" s="385" t="n"/>
      <c r="C708" s="385" t="n"/>
      <c r="D708" s="385" t="n"/>
      <c r="E708" s="385" t="n"/>
      <c r="F708" s="520" t="n"/>
      <c r="G708" s="520" t="n"/>
      <c r="H708" s="385" t="n"/>
    </row>
    <row r="709">
      <c r="A709" s="385" t="n"/>
      <c r="B709" s="385" t="n"/>
      <c r="C709" s="385" t="n"/>
      <c r="D709" s="385" t="n"/>
      <c r="E709" s="385" t="n"/>
      <c r="F709" s="520" t="n"/>
      <c r="G709" s="520" t="n"/>
      <c r="H709" s="385" t="n"/>
    </row>
    <row r="710">
      <c r="A710" s="385" t="n"/>
      <c r="B710" s="385" t="n"/>
      <c r="C710" s="385" t="n"/>
      <c r="D710" s="385" t="n"/>
      <c r="E710" s="385" t="n"/>
      <c r="F710" s="520" t="n"/>
      <c r="G710" s="520" t="n"/>
      <c r="H710" s="385" t="n"/>
    </row>
    <row r="711">
      <c r="A711" s="385" t="n"/>
      <c r="B711" s="385" t="n"/>
      <c r="C711" s="385" t="n"/>
      <c r="D711" s="385" t="n"/>
      <c r="E711" s="385" t="n"/>
      <c r="F711" s="520" t="n"/>
      <c r="G711" s="520" t="n"/>
      <c r="H711" s="385" t="n"/>
    </row>
    <row r="712">
      <c r="A712" s="385" t="n"/>
      <c r="B712" s="385" t="n"/>
      <c r="C712" s="385" t="n"/>
      <c r="D712" s="385" t="n"/>
      <c r="E712" s="385" t="n"/>
      <c r="F712" s="520" t="n"/>
      <c r="G712" s="520" t="n"/>
      <c r="H712" s="385" t="n"/>
    </row>
    <row r="713">
      <c r="A713" s="385" t="n"/>
      <c r="B713" s="385" t="n"/>
      <c r="C713" s="385" t="n"/>
      <c r="D713" s="385" t="n"/>
      <c r="E713" s="385" t="n"/>
      <c r="F713" s="520" t="n"/>
      <c r="G713" s="520" t="n"/>
      <c r="H713" s="385" t="n"/>
    </row>
    <row r="714">
      <c r="A714" s="385" t="n"/>
      <c r="B714" s="385" t="n"/>
      <c r="C714" s="385" t="n"/>
      <c r="D714" s="385" t="n"/>
      <c r="E714" s="385" t="n"/>
      <c r="F714" s="520" t="n"/>
      <c r="G714" s="520" t="n"/>
      <c r="H714" s="385" t="n"/>
    </row>
    <row r="715">
      <c r="A715" s="385" t="n"/>
      <c r="B715" s="385" t="n"/>
      <c r="C715" s="385" t="n"/>
      <c r="D715" s="385" t="n"/>
      <c r="E715" s="385" t="n"/>
      <c r="F715" s="520" t="n"/>
      <c r="G715" s="520" t="n"/>
      <c r="H715" s="385" t="n"/>
    </row>
    <row r="716">
      <c r="A716" s="385" t="n"/>
      <c r="B716" s="385" t="n"/>
      <c r="C716" s="385" t="n"/>
      <c r="D716" s="385" t="n"/>
      <c r="E716" s="385" t="n"/>
      <c r="F716" s="520" t="n"/>
      <c r="G716" s="520" t="n"/>
      <c r="H716" s="385" t="n"/>
    </row>
    <row r="717">
      <c r="A717" s="385" t="n"/>
      <c r="B717" s="385" t="n"/>
      <c r="C717" s="385" t="n"/>
      <c r="D717" s="385" t="n"/>
      <c r="E717" s="385" t="n"/>
      <c r="F717" s="520" t="n"/>
      <c r="G717" s="520" t="n"/>
      <c r="H717" s="385" t="n"/>
    </row>
    <row r="718">
      <c r="A718" s="385" t="n"/>
      <c r="B718" s="385" t="n"/>
      <c r="C718" s="385" t="n"/>
      <c r="D718" s="385" t="n"/>
      <c r="E718" s="385" t="n"/>
      <c r="F718" s="520" t="n"/>
      <c r="G718" s="520" t="n"/>
      <c r="H718" s="385" t="n"/>
    </row>
    <row r="719">
      <c r="A719" s="385" t="n"/>
      <c r="B719" s="385" t="n"/>
      <c r="C719" s="385" t="n"/>
      <c r="D719" s="385" t="n"/>
      <c r="E719" s="385" t="n"/>
      <c r="F719" s="520" t="n"/>
      <c r="G719" s="520" t="n"/>
      <c r="H719" s="385" t="n"/>
    </row>
    <row r="720">
      <c r="A720" s="385" t="n"/>
      <c r="B720" s="385" t="n"/>
      <c r="C720" s="385" t="n"/>
      <c r="D720" s="385" t="n"/>
      <c r="E720" s="385" t="n"/>
      <c r="F720" s="520" t="n"/>
      <c r="G720" s="520" t="n"/>
      <c r="H720" s="385" t="n"/>
    </row>
    <row r="721">
      <c r="A721" s="385" t="n"/>
      <c r="B721" s="385" t="n"/>
      <c r="C721" s="385" t="n"/>
      <c r="D721" s="385" t="n"/>
      <c r="E721" s="385" t="n"/>
      <c r="F721" s="520" t="n"/>
      <c r="G721" s="520" t="n"/>
      <c r="H721" s="385" t="n"/>
    </row>
    <row r="722">
      <c r="A722" s="385" t="n"/>
      <c r="B722" s="385" t="n"/>
      <c r="C722" s="385" t="n"/>
      <c r="D722" s="385" t="n"/>
      <c r="E722" s="385" t="n"/>
      <c r="F722" s="520" t="n"/>
      <c r="G722" s="520" t="n"/>
      <c r="H722" s="385" t="n"/>
    </row>
    <row r="723">
      <c r="A723" s="385" t="n"/>
      <c r="B723" s="385" t="n"/>
      <c r="C723" s="385" t="n"/>
      <c r="D723" s="385" t="n"/>
      <c r="E723" s="385" t="n"/>
      <c r="F723" s="520" t="n"/>
      <c r="G723" s="520" t="n"/>
      <c r="H723" s="385" t="n"/>
    </row>
    <row r="724">
      <c r="A724" s="385" t="n"/>
      <c r="B724" s="385" t="n"/>
      <c r="C724" s="385" t="n"/>
      <c r="D724" s="385" t="n"/>
      <c r="E724" s="385" t="n"/>
      <c r="F724" s="520" t="n"/>
      <c r="G724" s="520" t="n"/>
      <c r="H724" s="385" t="n"/>
    </row>
    <row r="725">
      <c r="A725" s="385" t="n"/>
      <c r="B725" s="385" t="n"/>
      <c r="C725" s="385" t="n"/>
      <c r="D725" s="385" t="n"/>
      <c r="E725" s="385" t="n"/>
      <c r="F725" s="520" t="n"/>
      <c r="G725" s="520" t="n"/>
      <c r="H725" s="385" t="n"/>
    </row>
    <row r="726">
      <c r="A726" s="385" t="n"/>
      <c r="B726" s="385" t="n"/>
      <c r="C726" s="385" t="n"/>
      <c r="D726" s="385" t="n"/>
      <c r="E726" s="385" t="n"/>
      <c r="F726" s="520" t="n"/>
      <c r="G726" s="520" t="n"/>
      <c r="H726" s="385" t="n"/>
    </row>
    <row r="727">
      <c r="A727" s="385" t="n"/>
      <c r="B727" s="385" t="n"/>
      <c r="C727" s="385" t="n"/>
      <c r="D727" s="385" t="n"/>
      <c r="E727" s="385" t="n"/>
      <c r="F727" s="520" t="n"/>
      <c r="G727" s="520" t="n"/>
      <c r="H727" s="385" t="n"/>
    </row>
    <row r="728">
      <c r="A728" s="385" t="n"/>
      <c r="B728" s="385" t="n"/>
      <c r="C728" s="385" t="n"/>
      <c r="D728" s="385" t="n"/>
      <c r="E728" s="385" t="n"/>
      <c r="F728" s="520" t="n"/>
      <c r="G728" s="520" t="n"/>
      <c r="H728" s="385" t="n"/>
    </row>
    <row r="729">
      <c r="A729" s="385" t="n"/>
      <c r="B729" s="385" t="n"/>
      <c r="C729" s="385" t="n"/>
      <c r="D729" s="385" t="n"/>
      <c r="E729" s="385" t="n"/>
      <c r="F729" s="520" t="n"/>
      <c r="G729" s="520" t="n"/>
      <c r="H729" s="385" t="n"/>
    </row>
    <row r="730">
      <c r="A730" s="385" t="n"/>
      <c r="B730" s="385" t="n"/>
      <c r="C730" s="385" t="n"/>
      <c r="D730" s="385" t="n"/>
      <c r="E730" s="385" t="n"/>
      <c r="F730" s="520" t="n"/>
      <c r="G730" s="520" t="n"/>
      <c r="H730" s="385" t="n"/>
    </row>
    <row r="731">
      <c r="A731" s="385" t="n"/>
      <c r="B731" s="385" t="n"/>
      <c r="C731" s="385" t="n"/>
      <c r="D731" s="385" t="n"/>
      <c r="E731" s="385" t="n"/>
      <c r="F731" s="520" t="n"/>
      <c r="G731" s="520" t="n"/>
      <c r="H731" s="385" t="n"/>
    </row>
    <row r="732">
      <c r="A732" s="385" t="n"/>
      <c r="B732" s="385" t="n"/>
      <c r="C732" s="385" t="n"/>
      <c r="D732" s="385" t="n"/>
      <c r="E732" s="385" t="n"/>
      <c r="F732" s="520" t="n"/>
      <c r="G732" s="520" t="n"/>
      <c r="H732" s="385" t="n"/>
    </row>
    <row r="733">
      <c r="A733" s="385" t="n"/>
      <c r="B733" s="385" t="n"/>
      <c r="C733" s="385" t="n"/>
      <c r="D733" s="385" t="n"/>
      <c r="E733" s="385" t="n"/>
      <c r="F733" s="520" t="n"/>
      <c r="G733" s="520" t="n"/>
      <c r="H733" s="385" t="n"/>
    </row>
    <row r="734">
      <c r="A734" s="385" t="n"/>
      <c r="B734" s="385" t="n"/>
      <c r="C734" s="385" t="n"/>
      <c r="D734" s="385" t="n"/>
      <c r="E734" s="385" t="n"/>
      <c r="F734" s="520" t="n"/>
      <c r="G734" s="520" t="n"/>
      <c r="H734" s="385" t="n"/>
    </row>
    <row r="735">
      <c r="A735" s="385" t="n"/>
      <c r="B735" s="385" t="n"/>
      <c r="C735" s="385" t="n"/>
      <c r="D735" s="385" t="n"/>
      <c r="E735" s="385" t="n"/>
      <c r="F735" s="520" t="n"/>
      <c r="G735" s="520" t="n"/>
      <c r="H735" s="385" t="n"/>
    </row>
    <row r="736">
      <c r="A736" s="385" t="n"/>
      <c r="B736" s="385" t="n"/>
      <c r="C736" s="385" t="n"/>
      <c r="D736" s="385" t="n"/>
      <c r="E736" s="385" t="n"/>
      <c r="F736" s="520" t="n"/>
      <c r="G736" s="520" t="n"/>
      <c r="H736" s="385" t="n"/>
    </row>
    <row r="737">
      <c r="A737" s="385" t="n"/>
      <c r="B737" s="385" t="n"/>
      <c r="C737" s="385" t="n"/>
      <c r="D737" s="385" t="n"/>
      <c r="E737" s="385" t="n"/>
      <c r="F737" s="520" t="n"/>
      <c r="G737" s="520" t="n"/>
      <c r="H737" s="385" t="n"/>
    </row>
    <row r="738">
      <c r="A738" s="385" t="n"/>
      <c r="B738" s="385" t="n"/>
      <c r="C738" s="385" t="n"/>
      <c r="D738" s="385" t="n"/>
      <c r="E738" s="385" t="n"/>
      <c r="F738" s="520" t="n"/>
      <c r="G738" s="520" t="n"/>
      <c r="H738" s="385" t="n"/>
    </row>
    <row r="739">
      <c r="A739" s="385" t="n"/>
      <c r="B739" s="385" t="n"/>
      <c r="C739" s="385" t="n"/>
      <c r="D739" s="385" t="n"/>
      <c r="E739" s="385" t="n"/>
      <c r="F739" s="520" t="n"/>
      <c r="G739" s="520" t="n"/>
      <c r="H739" s="385" t="n"/>
    </row>
    <row r="740">
      <c r="A740" s="385" t="n"/>
      <c r="B740" s="385" t="n"/>
      <c r="C740" s="385" t="n"/>
      <c r="D740" s="385" t="n"/>
      <c r="E740" s="385" t="n"/>
      <c r="F740" s="520" t="n"/>
      <c r="G740" s="520" t="n"/>
      <c r="H740" s="385" t="n"/>
    </row>
    <row r="741">
      <c r="A741" s="385" t="n"/>
      <c r="B741" s="385" t="n"/>
      <c r="C741" s="385" t="n"/>
      <c r="D741" s="385" t="n"/>
      <c r="E741" s="385" t="n"/>
      <c r="F741" s="520" t="n"/>
      <c r="G741" s="520" t="n"/>
      <c r="H741" s="385" t="n"/>
    </row>
    <row r="742">
      <c r="A742" s="385" t="n"/>
      <c r="B742" s="385" t="n"/>
      <c r="C742" s="385" t="n"/>
      <c r="D742" s="385" t="n"/>
      <c r="E742" s="385" t="n"/>
      <c r="F742" s="520" t="n"/>
      <c r="G742" s="520" t="n"/>
      <c r="H742" s="385" t="n"/>
    </row>
    <row r="743">
      <c r="A743" s="385" t="n"/>
      <c r="B743" s="385" t="n"/>
      <c r="C743" s="385" t="n"/>
      <c r="D743" s="385" t="n"/>
      <c r="E743" s="385" t="n"/>
      <c r="F743" s="520" t="n"/>
      <c r="G743" s="520" t="n"/>
      <c r="H743" s="385" t="n"/>
    </row>
    <row r="744">
      <c r="A744" s="385" t="n"/>
      <c r="B744" s="385" t="n"/>
      <c r="C744" s="385" t="n"/>
      <c r="D744" s="385" t="n"/>
      <c r="E744" s="385" t="n"/>
      <c r="F744" s="520" t="n"/>
      <c r="G744" s="520" t="n"/>
      <c r="H744" s="385" t="n"/>
    </row>
    <row r="745">
      <c r="A745" s="385" t="n"/>
      <c r="B745" s="385" t="n"/>
      <c r="C745" s="385" t="n"/>
      <c r="D745" s="385" t="n"/>
      <c r="E745" s="385" t="n"/>
      <c r="F745" s="520" t="n"/>
      <c r="G745" s="520" t="n"/>
      <c r="H745" s="385" t="n"/>
    </row>
    <row r="746">
      <c r="A746" s="385" t="n"/>
      <c r="B746" s="385" t="n"/>
      <c r="C746" s="385" t="n"/>
      <c r="D746" s="385" t="n"/>
      <c r="E746" s="385" t="n"/>
      <c r="F746" s="520" t="n"/>
      <c r="G746" s="520" t="n"/>
      <c r="H746" s="385" t="n"/>
    </row>
    <row r="747">
      <c r="A747" s="385" t="n"/>
      <c r="B747" s="385" t="n"/>
      <c r="C747" s="385" t="n"/>
      <c r="D747" s="385" t="n"/>
      <c r="E747" s="385" t="n"/>
      <c r="F747" s="520" t="n"/>
      <c r="G747" s="520" t="n"/>
      <c r="H747" s="385" t="n"/>
    </row>
    <row r="748">
      <c r="A748" s="385" t="n"/>
      <c r="B748" s="385" t="n"/>
      <c r="C748" s="385" t="n"/>
      <c r="D748" s="385" t="n"/>
      <c r="E748" s="385" t="n"/>
      <c r="F748" s="520" t="n"/>
      <c r="G748" s="520" t="n"/>
      <c r="H748" s="385" t="n"/>
    </row>
    <row r="749">
      <c r="A749" s="385" t="n"/>
      <c r="B749" s="385" t="n"/>
      <c r="C749" s="385" t="n"/>
      <c r="D749" s="385" t="n"/>
      <c r="E749" s="385" t="n"/>
      <c r="F749" s="520" t="n"/>
      <c r="G749" s="520" t="n"/>
      <c r="H749" s="385" t="n"/>
    </row>
    <row r="750">
      <c r="A750" s="385" t="n"/>
      <c r="B750" s="385" t="n"/>
      <c r="C750" s="385" t="n"/>
      <c r="D750" s="385" t="n"/>
      <c r="E750" s="385" t="n"/>
      <c r="F750" s="520" t="n"/>
      <c r="G750" s="520" t="n"/>
      <c r="H750" s="385" t="n"/>
    </row>
    <row r="751">
      <c r="A751" s="385" t="n"/>
      <c r="B751" s="385" t="n"/>
      <c r="C751" s="385" t="n"/>
      <c r="D751" s="385" t="n"/>
      <c r="E751" s="385" t="n"/>
      <c r="F751" s="520" t="n"/>
      <c r="G751" s="520" t="n"/>
      <c r="H751" s="385" t="n"/>
    </row>
    <row r="752">
      <c r="A752" s="385" t="n"/>
      <c r="B752" s="385" t="n"/>
      <c r="C752" s="385" t="n"/>
      <c r="D752" s="385" t="n"/>
      <c r="E752" s="385" t="n"/>
      <c r="F752" s="520" t="n"/>
      <c r="G752" s="520" t="n"/>
      <c r="H752" s="385" t="n"/>
    </row>
    <row r="753">
      <c r="A753" s="385" t="n"/>
      <c r="B753" s="385" t="n"/>
      <c r="C753" s="385" t="n"/>
      <c r="D753" s="385" t="n"/>
      <c r="E753" s="385" t="n"/>
      <c r="F753" s="520" t="n"/>
      <c r="G753" s="520" t="n"/>
      <c r="H753" s="385" t="n"/>
    </row>
    <row r="754">
      <c r="A754" s="385" t="n"/>
      <c r="B754" s="385" t="n"/>
      <c r="C754" s="385" t="n"/>
      <c r="D754" s="385" t="n"/>
      <c r="E754" s="385" t="n"/>
      <c r="F754" s="520" t="n"/>
      <c r="G754" s="520" t="n"/>
      <c r="H754" s="385" t="n"/>
    </row>
    <row r="755">
      <c r="A755" s="385" t="n"/>
      <c r="B755" s="385" t="n"/>
      <c r="C755" s="385" t="n"/>
      <c r="D755" s="385" t="n"/>
      <c r="E755" s="385" t="n"/>
      <c r="F755" s="520" t="n"/>
      <c r="G755" s="520" t="n"/>
      <c r="H755" s="385" t="n"/>
    </row>
    <row r="756">
      <c r="A756" s="385" t="n"/>
      <c r="B756" s="385" t="n"/>
      <c r="C756" s="385" t="n"/>
      <c r="D756" s="385" t="n"/>
      <c r="E756" s="385" t="n"/>
      <c r="F756" s="520" t="n"/>
      <c r="G756" s="520" t="n"/>
      <c r="H756" s="385" t="n"/>
    </row>
    <row r="757">
      <c r="A757" s="385" t="n"/>
      <c r="B757" s="385" t="n"/>
      <c r="C757" s="385" t="n"/>
      <c r="D757" s="385" t="n"/>
      <c r="E757" s="385" t="n"/>
      <c r="F757" s="520" t="n"/>
      <c r="G757" s="520" t="n"/>
      <c r="H757" s="385" t="n"/>
    </row>
    <row r="758">
      <c r="A758" s="385" t="n"/>
      <c r="B758" s="385" t="n"/>
      <c r="C758" s="385" t="n"/>
      <c r="D758" s="385" t="n"/>
      <c r="E758" s="385" t="n"/>
      <c r="F758" s="520" t="n"/>
      <c r="G758" s="520" t="n"/>
      <c r="H758" s="385" t="n"/>
    </row>
    <row r="759">
      <c r="A759" s="385" t="n"/>
      <c r="B759" s="385" t="n"/>
      <c r="C759" s="385" t="n"/>
      <c r="D759" s="385" t="n"/>
      <c r="E759" s="385" t="n"/>
      <c r="F759" s="520" t="n"/>
      <c r="G759" s="520" t="n"/>
      <c r="H759" s="385" t="n"/>
    </row>
    <row r="760">
      <c r="A760" s="385" t="n"/>
      <c r="B760" s="385" t="n"/>
      <c r="C760" s="385" t="n"/>
      <c r="D760" s="385" t="n"/>
      <c r="E760" s="385" t="n"/>
      <c r="F760" s="520" t="n"/>
      <c r="G760" s="520" t="n"/>
      <c r="H760" s="385" t="n"/>
    </row>
    <row r="761">
      <c r="A761" s="385" t="n"/>
      <c r="B761" s="385" t="n"/>
      <c r="C761" s="385" t="n"/>
      <c r="D761" s="385" t="n"/>
      <c r="E761" s="385" t="n"/>
      <c r="F761" s="520" t="n"/>
      <c r="G761" s="520" t="n"/>
      <c r="H761" s="385" t="n"/>
    </row>
    <row r="762">
      <c r="A762" s="385" t="n"/>
      <c r="B762" s="385" t="n"/>
      <c r="C762" s="385" t="n"/>
      <c r="D762" s="385" t="n"/>
      <c r="E762" s="385" t="n"/>
      <c r="F762" s="520" t="n"/>
      <c r="G762" s="520" t="n"/>
      <c r="H762" s="385" t="n"/>
    </row>
    <row r="763">
      <c r="A763" s="385" t="n"/>
      <c r="B763" s="385" t="n"/>
      <c r="C763" s="385" t="n"/>
      <c r="D763" s="385" t="n"/>
      <c r="E763" s="385" t="n"/>
      <c r="F763" s="520" t="n"/>
      <c r="G763" s="520" t="n"/>
      <c r="H763" s="385" t="n"/>
    </row>
    <row r="764">
      <c r="A764" s="385" t="n"/>
      <c r="B764" s="385" t="n"/>
      <c r="C764" s="385" t="n"/>
      <c r="D764" s="385" t="n"/>
      <c r="E764" s="385" t="n"/>
      <c r="F764" s="520" t="n"/>
      <c r="G764" s="520" t="n"/>
      <c r="H764" s="385" t="n"/>
    </row>
    <row r="765">
      <c r="A765" s="385" t="n"/>
      <c r="B765" s="385" t="n"/>
      <c r="C765" s="385" t="n"/>
      <c r="D765" s="385" t="n"/>
      <c r="E765" s="385" t="n"/>
      <c r="F765" s="520" t="n"/>
      <c r="G765" s="520" t="n"/>
      <c r="H765" s="385" t="n"/>
    </row>
    <row r="766">
      <c r="A766" s="385" t="n"/>
      <c r="B766" s="385" t="n"/>
      <c r="C766" s="385" t="n"/>
      <c r="D766" s="385" t="n"/>
      <c r="E766" s="385" t="n"/>
      <c r="F766" s="520" t="n"/>
      <c r="G766" s="520" t="n"/>
      <c r="H766" s="385" t="n"/>
    </row>
    <row r="767">
      <c r="A767" s="385" t="n"/>
      <c r="B767" s="385" t="n"/>
      <c r="C767" s="385" t="n"/>
      <c r="D767" s="385" t="n"/>
      <c r="E767" s="385" t="n"/>
      <c r="F767" s="520" t="n"/>
      <c r="G767" s="520" t="n"/>
      <c r="H767" s="385" t="n"/>
    </row>
    <row r="768">
      <c r="A768" s="385" t="n"/>
      <c r="B768" s="385" t="n"/>
      <c r="C768" s="385" t="n"/>
      <c r="D768" s="385" t="n"/>
      <c r="E768" s="385" t="n"/>
      <c r="F768" s="520" t="n"/>
      <c r="G768" s="520" t="n"/>
      <c r="H768" s="385" t="n"/>
    </row>
    <row r="769">
      <c r="A769" s="385" t="n"/>
      <c r="B769" s="385" t="n"/>
      <c r="C769" s="385" t="n"/>
      <c r="D769" s="385" t="n"/>
      <c r="E769" s="385" t="n"/>
      <c r="F769" s="520" t="n"/>
      <c r="G769" s="520" t="n"/>
      <c r="H769" s="385" t="n"/>
    </row>
    <row r="770">
      <c r="A770" s="385" t="n"/>
      <c r="B770" s="385" t="n"/>
      <c r="C770" s="385" t="n"/>
      <c r="D770" s="385" t="n"/>
      <c r="E770" s="385" t="n"/>
      <c r="F770" s="520" t="n"/>
      <c r="G770" s="520" t="n"/>
      <c r="H770" s="385" t="n"/>
    </row>
    <row r="771">
      <c r="A771" s="385" t="n"/>
      <c r="B771" s="385" t="n"/>
      <c r="C771" s="385" t="n"/>
      <c r="D771" s="385" t="n"/>
      <c r="E771" s="385" t="n"/>
      <c r="F771" s="520" t="n"/>
      <c r="G771" s="520" t="n"/>
      <c r="H771" s="385" t="n"/>
    </row>
    <row r="772">
      <c r="A772" s="385" t="n"/>
      <c r="B772" s="385" t="n"/>
      <c r="C772" s="385" t="n"/>
      <c r="D772" s="385" t="n"/>
      <c r="E772" s="385" t="n"/>
      <c r="F772" s="520" t="n"/>
      <c r="G772" s="520" t="n"/>
      <c r="H772" s="385" t="n"/>
    </row>
    <row r="773">
      <c r="A773" s="385" t="n"/>
      <c r="B773" s="385" t="n"/>
      <c r="C773" s="385" t="n"/>
      <c r="D773" s="385" t="n"/>
      <c r="E773" s="385" t="n"/>
      <c r="F773" s="520" t="n"/>
      <c r="G773" s="520" t="n"/>
      <c r="H773" s="385" t="n"/>
    </row>
    <row r="774">
      <c r="A774" s="385" t="n"/>
      <c r="B774" s="385" t="n"/>
      <c r="C774" s="385" t="n"/>
      <c r="D774" s="385" t="n"/>
      <c r="E774" s="385" t="n"/>
      <c r="F774" s="520" t="n"/>
      <c r="G774" s="520" t="n"/>
      <c r="H774" s="385" t="n"/>
    </row>
    <row r="775">
      <c r="A775" s="385" t="n"/>
      <c r="B775" s="385" t="n"/>
      <c r="C775" s="385" t="n"/>
      <c r="D775" s="385" t="n"/>
      <c r="E775" s="385" t="n"/>
      <c r="F775" s="520" t="n"/>
      <c r="G775" s="520" t="n"/>
      <c r="H775" s="385" t="n"/>
    </row>
    <row r="776">
      <c r="A776" s="385" t="n"/>
      <c r="B776" s="385" t="n"/>
      <c r="C776" s="385" t="n"/>
      <c r="D776" s="385" t="n"/>
      <c r="E776" s="385" t="n"/>
      <c r="F776" s="520" t="n"/>
      <c r="G776" s="520" t="n"/>
      <c r="H776" s="385" t="n"/>
    </row>
    <row r="777">
      <c r="A777" s="385" t="n"/>
      <c r="B777" s="385" t="n"/>
      <c r="C777" s="385" t="n"/>
      <c r="D777" s="385" t="n"/>
      <c r="E777" s="385" t="n"/>
      <c r="F777" s="520" t="n"/>
      <c r="G777" s="520" t="n"/>
      <c r="H777" s="385" t="n"/>
    </row>
    <row r="778">
      <c r="A778" s="385" t="n"/>
      <c r="B778" s="385" t="n"/>
      <c r="C778" s="385" t="n"/>
      <c r="D778" s="385" t="n"/>
      <c r="E778" s="385" t="n"/>
      <c r="F778" s="520" t="n"/>
      <c r="G778" s="520" t="n"/>
      <c r="H778" s="385" t="n"/>
    </row>
    <row r="779">
      <c r="A779" s="385" t="n"/>
      <c r="B779" s="385" t="n"/>
      <c r="C779" s="385" t="n"/>
      <c r="D779" s="385" t="n"/>
      <c r="E779" s="385" t="n"/>
      <c r="F779" s="520" t="n"/>
      <c r="G779" s="520" t="n"/>
      <c r="H779" s="385" t="n"/>
    </row>
    <row r="780">
      <c r="A780" s="385" t="n"/>
      <c r="B780" s="385" t="n"/>
      <c r="C780" s="385" t="n"/>
      <c r="D780" s="385" t="n"/>
      <c r="E780" s="385" t="n"/>
      <c r="F780" s="520" t="n"/>
      <c r="G780" s="520" t="n"/>
      <c r="H780" s="385" t="n"/>
    </row>
    <row r="781">
      <c r="A781" s="385" t="n"/>
      <c r="B781" s="385" t="n"/>
      <c r="C781" s="385" t="n"/>
      <c r="D781" s="385" t="n"/>
      <c r="E781" s="385" t="n"/>
      <c r="F781" s="520" t="n"/>
      <c r="G781" s="520" t="n"/>
      <c r="H781" s="385" t="n"/>
    </row>
    <row r="782">
      <c r="A782" s="385" t="n"/>
      <c r="B782" s="385" t="n"/>
      <c r="C782" s="385" t="n"/>
      <c r="D782" s="385" t="n"/>
      <c r="E782" s="385" t="n"/>
      <c r="F782" s="520" t="n"/>
      <c r="G782" s="520" t="n"/>
      <c r="H782" s="385" t="n"/>
    </row>
    <row r="783">
      <c r="A783" s="385" t="n"/>
      <c r="B783" s="385" t="n"/>
      <c r="C783" s="385" t="n"/>
      <c r="D783" s="385" t="n"/>
      <c r="E783" s="385" t="n"/>
      <c r="F783" s="520" t="n"/>
      <c r="G783" s="520" t="n"/>
      <c r="H783" s="385" t="n"/>
    </row>
    <row r="784">
      <c r="A784" s="385" t="n"/>
      <c r="B784" s="385" t="n"/>
      <c r="C784" s="385" t="n"/>
      <c r="D784" s="385" t="n"/>
      <c r="E784" s="385" t="n"/>
      <c r="F784" s="520" t="n"/>
      <c r="G784" s="520" t="n"/>
      <c r="H784" s="385" t="n"/>
    </row>
    <row r="785">
      <c r="A785" s="385" t="n"/>
      <c r="B785" s="385" t="n"/>
      <c r="C785" s="385" t="n"/>
      <c r="D785" s="385" t="n"/>
      <c r="E785" s="385" t="n"/>
      <c r="F785" s="520" t="n"/>
      <c r="G785" s="520" t="n"/>
      <c r="H785" s="385" t="n"/>
    </row>
    <row r="786">
      <c r="A786" s="385" t="n"/>
      <c r="B786" s="385" t="n"/>
      <c r="C786" s="385" t="n"/>
      <c r="D786" s="385" t="n"/>
      <c r="E786" s="385" t="n"/>
      <c r="F786" s="520" t="n"/>
      <c r="G786" s="520" t="n"/>
      <c r="H786" s="385" t="n"/>
    </row>
    <row r="787">
      <c r="A787" s="385" t="n"/>
      <c r="B787" s="385" t="n"/>
      <c r="C787" s="385" t="n"/>
      <c r="D787" s="385" t="n"/>
      <c r="E787" s="385" t="n"/>
      <c r="F787" s="520" t="n"/>
      <c r="G787" s="520" t="n"/>
      <c r="H787" s="385" t="n"/>
    </row>
    <row r="788">
      <c r="A788" s="385" t="n"/>
      <c r="B788" s="385" t="n"/>
      <c r="C788" s="385" t="n"/>
      <c r="D788" s="385" t="n"/>
      <c r="E788" s="385" t="n"/>
      <c r="F788" s="520" t="n"/>
      <c r="G788" s="520" t="n"/>
      <c r="H788" s="385" t="n"/>
    </row>
    <row r="789">
      <c r="A789" s="385" t="n"/>
      <c r="B789" s="385" t="n"/>
      <c r="C789" s="385" t="n"/>
      <c r="D789" s="385" t="n"/>
      <c r="E789" s="385" t="n"/>
      <c r="F789" s="520" t="n"/>
      <c r="G789" s="520" t="n"/>
      <c r="H789" s="385" t="n"/>
    </row>
    <row r="790">
      <c r="A790" s="385" t="n"/>
      <c r="B790" s="385" t="n"/>
      <c r="C790" s="385" t="n"/>
      <c r="D790" s="385" t="n"/>
      <c r="E790" s="385" t="n"/>
      <c r="F790" s="520" t="n"/>
      <c r="G790" s="520" t="n"/>
      <c r="H790" s="385" t="n"/>
    </row>
    <row r="791">
      <c r="A791" s="385" t="n"/>
      <c r="B791" s="385" t="n"/>
      <c r="C791" s="385" t="n"/>
      <c r="D791" s="385" t="n"/>
      <c r="E791" s="385" t="n"/>
      <c r="F791" s="520" t="n"/>
      <c r="G791" s="520" t="n"/>
      <c r="H791" s="385" t="n"/>
    </row>
    <row r="792">
      <c r="A792" s="385" t="n"/>
      <c r="B792" s="385" t="n"/>
      <c r="C792" s="385" t="n"/>
      <c r="D792" s="385" t="n"/>
      <c r="E792" s="385" t="n"/>
      <c r="F792" s="520" t="n"/>
      <c r="G792" s="520" t="n"/>
      <c r="H792" s="385" t="n"/>
    </row>
    <row r="793">
      <c r="A793" s="385" t="n"/>
      <c r="B793" s="385" t="n"/>
      <c r="C793" s="385" t="n"/>
      <c r="D793" s="385" t="n"/>
      <c r="E793" s="385" t="n"/>
      <c r="F793" s="520" t="n"/>
      <c r="G793" s="520" t="n"/>
      <c r="H793" s="385" t="n"/>
    </row>
    <row r="794">
      <c r="A794" s="385" t="n"/>
      <c r="B794" s="385" t="n"/>
      <c r="C794" s="385" t="n"/>
      <c r="D794" s="385" t="n"/>
      <c r="E794" s="385" t="n"/>
      <c r="F794" s="520" t="n"/>
      <c r="G794" s="520" t="n"/>
      <c r="H794" s="385" t="n"/>
    </row>
    <row r="795">
      <c r="A795" s="385" t="n"/>
      <c r="B795" s="385" t="n"/>
      <c r="C795" s="385" t="n"/>
      <c r="D795" s="385" t="n"/>
      <c r="E795" s="385" t="n"/>
      <c r="F795" s="520" t="n"/>
      <c r="G795" s="520" t="n"/>
      <c r="H795" s="385" t="n"/>
    </row>
    <row r="796">
      <c r="A796" s="385" t="n"/>
      <c r="B796" s="385" t="n"/>
      <c r="C796" s="385" t="n"/>
      <c r="D796" s="385" t="n"/>
      <c r="E796" s="385" t="n"/>
      <c r="F796" s="520" t="n"/>
      <c r="G796" s="520" t="n"/>
      <c r="H796" s="385" t="n"/>
    </row>
    <row r="797">
      <c r="A797" s="385" t="n"/>
      <c r="B797" s="385" t="n"/>
      <c r="C797" s="385" t="n"/>
      <c r="D797" s="385" t="n"/>
      <c r="E797" s="385" t="n"/>
      <c r="F797" s="520" t="n"/>
      <c r="G797" s="520" t="n"/>
      <c r="H797" s="385" t="n"/>
    </row>
    <row r="798">
      <c r="A798" s="385" t="n"/>
      <c r="B798" s="385" t="n"/>
      <c r="C798" s="385" t="n"/>
      <c r="D798" s="385" t="n"/>
      <c r="E798" s="385" t="n"/>
      <c r="F798" s="520" t="n"/>
      <c r="G798" s="520" t="n"/>
      <c r="H798" s="385" t="n"/>
    </row>
    <row r="799">
      <c r="A799" s="385" t="n"/>
      <c r="B799" s="385" t="n"/>
      <c r="C799" s="385" t="n"/>
      <c r="D799" s="385" t="n"/>
      <c r="E799" s="385" t="n"/>
      <c r="F799" s="520" t="n"/>
      <c r="G799" s="520" t="n"/>
      <c r="H799" s="385" t="n"/>
    </row>
    <row r="800">
      <c r="A800" s="385" t="n"/>
      <c r="B800" s="385" t="n"/>
      <c r="C800" s="385" t="n"/>
      <c r="D800" s="385" t="n"/>
      <c r="E800" s="385" t="n"/>
      <c r="F800" s="520" t="n"/>
      <c r="G800" s="520" t="n"/>
      <c r="H800" s="385" t="n"/>
    </row>
    <row r="801">
      <c r="A801" s="385" t="n"/>
      <c r="B801" s="385" t="n"/>
      <c r="C801" s="385" t="n"/>
      <c r="D801" s="385" t="n"/>
      <c r="E801" s="385" t="n"/>
      <c r="F801" s="520" t="n"/>
      <c r="G801" s="520" t="n"/>
      <c r="H801" s="385" t="n"/>
    </row>
    <row r="802">
      <c r="A802" s="385" t="n"/>
      <c r="B802" s="385" t="n"/>
      <c r="C802" s="385" t="n"/>
      <c r="D802" s="385" t="n"/>
      <c r="E802" s="385" t="n"/>
      <c r="F802" s="520" t="n"/>
      <c r="G802" s="520" t="n"/>
      <c r="H802" s="385" t="n"/>
    </row>
    <row r="803">
      <c r="A803" s="385" t="n"/>
      <c r="B803" s="385" t="n"/>
      <c r="C803" s="385" t="n"/>
      <c r="D803" s="385" t="n"/>
      <c r="E803" s="385" t="n"/>
      <c r="F803" s="520" t="n"/>
      <c r="G803" s="520" t="n"/>
      <c r="H803" s="385" t="n"/>
    </row>
    <row r="804">
      <c r="A804" s="385" t="n"/>
      <c r="B804" s="385" t="n"/>
      <c r="C804" s="385" t="n"/>
      <c r="D804" s="385" t="n"/>
      <c r="E804" s="385" t="n"/>
      <c r="F804" s="520" t="n"/>
      <c r="G804" s="520" t="n"/>
      <c r="H804" s="385" t="n"/>
    </row>
    <row r="805">
      <c r="A805" s="385" t="n"/>
      <c r="B805" s="385" t="n"/>
      <c r="C805" s="385" t="n"/>
      <c r="D805" s="385" t="n"/>
      <c r="E805" s="385" t="n"/>
      <c r="F805" s="520" t="n"/>
      <c r="G805" s="520" t="n"/>
      <c r="H805" s="385" t="n"/>
    </row>
    <row r="806">
      <c r="A806" s="385" t="n"/>
      <c r="B806" s="385" t="n"/>
      <c r="C806" s="385" t="n"/>
      <c r="D806" s="385" t="n"/>
      <c r="E806" s="385" t="n"/>
      <c r="F806" s="520" t="n"/>
      <c r="G806" s="520" t="n"/>
      <c r="H806" s="385" t="n"/>
    </row>
    <row r="807">
      <c r="A807" s="385" t="n"/>
      <c r="B807" s="385" t="n"/>
      <c r="C807" s="385" t="n"/>
      <c r="D807" s="385" t="n"/>
      <c r="E807" s="385" t="n"/>
      <c r="F807" s="520" t="n"/>
      <c r="G807" s="520" t="n"/>
      <c r="H807" s="385" t="n"/>
    </row>
    <row r="808">
      <c r="A808" s="385" t="n"/>
      <c r="B808" s="385" t="n"/>
      <c r="C808" s="385" t="n"/>
      <c r="D808" s="385" t="n"/>
      <c r="E808" s="385" t="n"/>
      <c r="F808" s="520" t="n"/>
      <c r="G808" s="520" t="n"/>
      <c r="H808" s="385" t="n"/>
    </row>
    <row r="809">
      <c r="A809" s="385" t="n"/>
      <c r="B809" s="385" t="n"/>
      <c r="C809" s="385" t="n"/>
      <c r="D809" s="385" t="n"/>
      <c r="E809" s="385" t="n"/>
      <c r="F809" s="520" t="n"/>
      <c r="G809" s="520" t="n"/>
      <c r="H809" s="385" t="n"/>
    </row>
    <row r="810">
      <c r="A810" s="385" t="n"/>
      <c r="B810" s="385" t="n"/>
      <c r="C810" s="385" t="n"/>
      <c r="D810" s="385" t="n"/>
      <c r="E810" s="385" t="n"/>
      <c r="F810" s="520" t="n"/>
      <c r="G810" s="520" t="n"/>
      <c r="H810" s="385" t="n"/>
    </row>
    <row r="811">
      <c r="A811" s="385" t="n"/>
      <c r="B811" s="385" t="n"/>
      <c r="C811" s="385" t="n"/>
      <c r="D811" s="385" t="n"/>
      <c r="E811" s="385" t="n"/>
      <c r="F811" s="520" t="n"/>
      <c r="G811" s="520" t="n"/>
      <c r="H811" s="385" t="n"/>
    </row>
    <row r="812">
      <c r="A812" s="385" t="n"/>
      <c r="B812" s="385" t="n"/>
      <c r="C812" s="385" t="n"/>
      <c r="D812" s="385" t="n"/>
      <c r="E812" s="385" t="n"/>
      <c r="F812" s="520" t="n"/>
      <c r="G812" s="520" t="n"/>
      <c r="H812" s="385" t="n"/>
    </row>
    <row r="813">
      <c r="A813" s="385" t="n"/>
      <c r="B813" s="385" t="n"/>
      <c r="C813" s="385" t="n"/>
      <c r="D813" s="385" t="n"/>
      <c r="E813" s="385" t="n"/>
      <c r="F813" s="520" t="n"/>
      <c r="G813" s="520" t="n"/>
      <c r="H813" s="385" t="n"/>
    </row>
    <row r="814">
      <c r="A814" s="385" t="n"/>
      <c r="B814" s="385" t="n"/>
      <c r="C814" s="385" t="n"/>
      <c r="D814" s="385" t="n"/>
      <c r="E814" s="385" t="n"/>
      <c r="F814" s="520" t="n"/>
      <c r="G814" s="520" t="n"/>
      <c r="H814" s="385" t="n"/>
    </row>
    <row r="815">
      <c r="A815" s="385" t="n"/>
      <c r="B815" s="385" t="n"/>
      <c r="C815" s="385" t="n"/>
      <c r="D815" s="385" t="n"/>
      <c r="E815" s="385" t="n"/>
      <c r="F815" s="520" t="n"/>
      <c r="G815" s="520" t="n"/>
      <c r="H815" s="385" t="n"/>
    </row>
    <row r="816">
      <c r="A816" s="385" t="n"/>
      <c r="B816" s="385" t="n"/>
      <c r="C816" s="385" t="n"/>
      <c r="D816" s="385" t="n"/>
      <c r="E816" s="385" t="n"/>
      <c r="F816" s="520" t="n"/>
      <c r="G816" s="520" t="n"/>
      <c r="H816" s="385" t="n"/>
    </row>
    <row r="817">
      <c r="A817" s="385" t="n"/>
      <c r="B817" s="385" t="n"/>
      <c r="C817" s="385" t="n"/>
      <c r="D817" s="385" t="n"/>
      <c r="E817" s="385" t="n"/>
      <c r="F817" s="520" t="n"/>
      <c r="G817" s="520" t="n"/>
      <c r="H817" s="385" t="n"/>
    </row>
    <row r="818">
      <c r="A818" s="385" t="n"/>
      <c r="B818" s="385" t="n"/>
      <c r="C818" s="385" t="n"/>
      <c r="D818" s="385" t="n"/>
      <c r="E818" s="385" t="n"/>
      <c r="F818" s="520" t="n"/>
      <c r="G818" s="520" t="n"/>
      <c r="H818" s="385" t="n"/>
    </row>
    <row r="819">
      <c r="A819" s="385" t="n"/>
      <c r="B819" s="385" t="n"/>
      <c r="C819" s="385" t="n"/>
      <c r="D819" s="385" t="n"/>
      <c r="E819" s="385" t="n"/>
      <c r="F819" s="520" t="n"/>
      <c r="G819" s="520" t="n"/>
      <c r="H819" s="385" t="n"/>
    </row>
    <row r="820">
      <c r="A820" s="385" t="n"/>
      <c r="B820" s="385" t="n"/>
      <c r="C820" s="385" t="n"/>
      <c r="D820" s="385" t="n"/>
      <c r="E820" s="385" t="n"/>
      <c r="F820" s="520" t="n"/>
      <c r="G820" s="520" t="n"/>
      <c r="H820" s="385" t="n"/>
    </row>
    <row r="821">
      <c r="A821" s="385" t="n"/>
      <c r="B821" s="385" t="n"/>
      <c r="C821" s="385" t="n"/>
      <c r="D821" s="385" t="n"/>
      <c r="E821" s="385" t="n"/>
      <c r="F821" s="520" t="n"/>
      <c r="G821" s="520" t="n"/>
      <c r="H821" s="385" t="n"/>
    </row>
    <row r="822">
      <c r="A822" s="385" t="n"/>
      <c r="B822" s="385" t="n"/>
      <c r="C822" s="385" t="n"/>
      <c r="D822" s="385" t="n"/>
      <c r="E822" s="385" t="n"/>
      <c r="F822" s="520" t="n"/>
      <c r="G822" s="520" t="n"/>
      <c r="H822" s="385" t="n"/>
    </row>
    <row r="823">
      <c r="A823" s="385" t="n"/>
      <c r="B823" s="385" t="n"/>
      <c r="C823" s="385" t="n"/>
      <c r="D823" s="385" t="n"/>
      <c r="E823" s="385" t="n"/>
      <c r="F823" s="520" t="n"/>
      <c r="G823" s="520" t="n"/>
      <c r="H823" s="385" t="n"/>
    </row>
    <row r="824">
      <c r="A824" s="385" t="n"/>
      <c r="B824" s="385" t="n"/>
      <c r="C824" s="385" t="n"/>
      <c r="D824" s="385" t="n"/>
      <c r="E824" s="385" t="n"/>
      <c r="F824" s="520" t="n"/>
      <c r="G824" s="520" t="n"/>
      <c r="H824" s="385" t="n"/>
    </row>
    <row r="825">
      <c r="A825" s="385" t="n"/>
      <c r="B825" s="385" t="n"/>
      <c r="C825" s="385" t="n"/>
      <c r="D825" s="385" t="n"/>
      <c r="E825" s="385" t="n"/>
      <c r="F825" s="520" t="n"/>
      <c r="G825" s="520" t="n"/>
      <c r="H825" s="385" t="n"/>
    </row>
    <row r="826">
      <c r="A826" s="385" t="n"/>
      <c r="B826" s="385" t="n"/>
      <c r="C826" s="385" t="n"/>
      <c r="D826" s="385" t="n"/>
      <c r="E826" s="385" t="n"/>
      <c r="F826" s="520" t="n"/>
      <c r="G826" s="520" t="n"/>
      <c r="H826" s="385" t="n"/>
    </row>
    <row r="827">
      <c r="A827" s="385" t="n"/>
      <c r="B827" s="385" t="n"/>
      <c r="C827" s="385" t="n"/>
      <c r="D827" s="385" t="n"/>
      <c r="E827" s="385" t="n"/>
      <c r="F827" s="520" t="n"/>
      <c r="G827" s="520" t="n"/>
      <c r="H827" s="385" t="n"/>
    </row>
    <row r="828">
      <c r="A828" s="385" t="n"/>
      <c r="B828" s="385" t="n"/>
      <c r="C828" s="385" t="n"/>
      <c r="D828" s="385" t="n"/>
      <c r="E828" s="385" t="n"/>
      <c r="F828" s="520" t="n"/>
      <c r="G828" s="520" t="n"/>
      <c r="H828" s="385" t="n"/>
    </row>
    <row r="829">
      <c r="A829" s="385" t="n"/>
      <c r="B829" s="385" t="n"/>
      <c r="C829" s="385" t="n"/>
      <c r="D829" s="385" t="n"/>
      <c r="E829" s="385" t="n"/>
      <c r="F829" s="520" t="n"/>
      <c r="G829" s="520" t="n"/>
      <c r="H829" s="385" t="n"/>
    </row>
    <row r="830">
      <c r="A830" s="385" t="n"/>
      <c r="B830" s="385" t="n"/>
      <c r="C830" s="385" t="n"/>
      <c r="D830" s="385" t="n"/>
      <c r="E830" s="385" t="n"/>
      <c r="F830" s="520" t="n"/>
      <c r="G830" s="520" t="n"/>
      <c r="H830" s="385" t="n"/>
    </row>
    <row r="831">
      <c r="A831" s="385" t="n"/>
      <c r="B831" s="385" t="n"/>
      <c r="C831" s="385" t="n"/>
      <c r="D831" s="385" t="n"/>
      <c r="E831" s="385" t="n"/>
      <c r="F831" s="520" t="n"/>
      <c r="G831" s="520" t="n"/>
      <c r="H831" s="385" t="n"/>
    </row>
    <row r="832">
      <c r="A832" s="385" t="n"/>
      <c r="B832" s="385" t="n"/>
      <c r="C832" s="385" t="n"/>
      <c r="D832" s="385" t="n"/>
      <c r="E832" s="385" t="n"/>
      <c r="F832" s="520" t="n"/>
      <c r="G832" s="520" t="n"/>
      <c r="H832" s="385" t="n"/>
    </row>
    <row r="833">
      <c r="A833" s="385" t="n"/>
      <c r="B833" s="385" t="n"/>
      <c r="C833" s="385" t="n"/>
      <c r="D833" s="385" t="n"/>
      <c r="E833" s="385" t="n"/>
      <c r="F833" s="520" t="n"/>
      <c r="G833" s="520" t="n"/>
      <c r="H833" s="385" t="n"/>
    </row>
    <row r="834">
      <c r="A834" s="385" t="n"/>
      <c r="B834" s="385" t="n"/>
      <c r="C834" s="385" t="n"/>
      <c r="D834" s="385" t="n"/>
      <c r="E834" s="385" t="n"/>
      <c r="F834" s="520" t="n"/>
      <c r="G834" s="520" t="n"/>
      <c r="H834" s="385" t="n"/>
    </row>
    <row r="835">
      <c r="A835" s="385" t="n"/>
      <c r="B835" s="385" t="n"/>
      <c r="C835" s="385" t="n"/>
      <c r="D835" s="385" t="n"/>
      <c r="E835" s="385" t="n"/>
      <c r="F835" s="520" t="n"/>
      <c r="G835" s="520" t="n"/>
      <c r="H835" s="385" t="n"/>
    </row>
    <row r="836">
      <c r="A836" s="385" t="n"/>
      <c r="B836" s="385" t="n"/>
      <c r="C836" s="385" t="n"/>
      <c r="D836" s="385" t="n"/>
      <c r="E836" s="385" t="n"/>
      <c r="F836" s="520" t="n"/>
      <c r="G836" s="520" t="n"/>
      <c r="H836" s="385" t="n"/>
    </row>
    <row r="837">
      <c r="A837" s="385" t="n"/>
      <c r="B837" s="385" t="n"/>
      <c r="C837" s="385" t="n"/>
      <c r="D837" s="385" t="n"/>
      <c r="E837" s="385" t="n"/>
      <c r="F837" s="520" t="n"/>
      <c r="G837" s="520" t="n"/>
      <c r="H837" s="385" t="n"/>
    </row>
    <row r="838">
      <c r="A838" s="385" t="n"/>
      <c r="B838" s="385" t="n"/>
      <c r="C838" s="385" t="n"/>
      <c r="D838" s="385" t="n"/>
      <c r="E838" s="385" t="n"/>
      <c r="F838" s="520" t="n"/>
      <c r="G838" s="520" t="n"/>
      <c r="H838" s="385" t="n"/>
    </row>
    <row r="839">
      <c r="A839" s="385" t="n"/>
      <c r="B839" s="385" t="n"/>
      <c r="C839" s="385" t="n"/>
      <c r="D839" s="385" t="n"/>
      <c r="E839" s="385" t="n"/>
      <c r="F839" s="520" t="n"/>
      <c r="G839" s="520" t="n"/>
      <c r="H839" s="385" t="n"/>
    </row>
    <row r="840">
      <c r="A840" s="385" t="n"/>
      <c r="B840" s="385" t="n"/>
      <c r="C840" s="385" t="n"/>
      <c r="D840" s="385" t="n"/>
      <c r="E840" s="385" t="n"/>
      <c r="F840" s="520" t="n"/>
      <c r="G840" s="520" t="n"/>
      <c r="H840" s="385" t="n"/>
    </row>
    <row r="841">
      <c r="A841" s="385" t="n"/>
      <c r="B841" s="385" t="n"/>
      <c r="C841" s="385" t="n"/>
      <c r="D841" s="385" t="n"/>
      <c r="E841" s="385" t="n"/>
      <c r="F841" s="520" t="n"/>
      <c r="G841" s="520" t="n"/>
      <c r="H841" s="385" t="n"/>
    </row>
    <row r="842">
      <c r="A842" s="385" t="n"/>
      <c r="B842" s="385" t="n"/>
      <c r="C842" s="385" t="n"/>
      <c r="D842" s="385" t="n"/>
      <c r="E842" s="385" t="n"/>
      <c r="F842" s="520" t="n"/>
      <c r="G842" s="520" t="n"/>
      <c r="H842" s="385" t="n"/>
    </row>
    <row r="843">
      <c r="A843" s="385" t="n"/>
      <c r="B843" s="385" t="n"/>
      <c r="C843" s="385" t="n"/>
      <c r="D843" s="385" t="n"/>
      <c r="E843" s="385" t="n"/>
      <c r="F843" s="520" t="n"/>
      <c r="G843" s="520" t="n"/>
      <c r="H843" s="385" t="n"/>
    </row>
    <row r="844">
      <c r="A844" s="385" t="n"/>
      <c r="B844" s="385" t="n"/>
      <c r="C844" s="385" t="n"/>
      <c r="D844" s="385" t="n"/>
      <c r="E844" s="385" t="n"/>
      <c r="F844" s="520" t="n"/>
      <c r="G844" s="520" t="n"/>
      <c r="H844" s="385" t="n"/>
    </row>
    <row r="845">
      <c r="A845" s="385" t="n"/>
      <c r="B845" s="385" t="n"/>
      <c r="C845" s="385" t="n"/>
      <c r="D845" s="385" t="n"/>
      <c r="E845" s="385" t="n"/>
      <c r="F845" s="520" t="n"/>
      <c r="G845" s="520" t="n"/>
      <c r="H845" s="385" t="n"/>
    </row>
    <row r="846">
      <c r="A846" s="385" t="n"/>
      <c r="B846" s="385" t="n"/>
      <c r="C846" s="385" t="n"/>
      <c r="D846" s="385" t="n"/>
      <c r="E846" s="385" t="n"/>
      <c r="F846" s="520" t="n"/>
      <c r="G846" s="520" t="n"/>
      <c r="H846" s="385" t="n"/>
    </row>
    <row r="847">
      <c r="A847" s="385" t="n"/>
      <c r="B847" s="385" t="n"/>
      <c r="C847" s="385" t="n"/>
      <c r="D847" s="385" t="n"/>
      <c r="E847" s="385" t="n"/>
      <c r="F847" s="520" t="n"/>
      <c r="G847" s="520" t="n"/>
      <c r="H847" s="385" t="n"/>
    </row>
    <row r="848">
      <c r="A848" s="385" t="n"/>
      <c r="B848" s="385" t="n"/>
      <c r="C848" s="385" t="n"/>
      <c r="D848" s="385" t="n"/>
      <c r="E848" s="385" t="n"/>
      <c r="F848" s="520" t="n"/>
      <c r="G848" s="520" t="n"/>
      <c r="H848" s="385" t="n"/>
    </row>
    <row r="849">
      <c r="A849" s="385" t="n"/>
      <c r="B849" s="385" t="n"/>
      <c r="C849" s="385" t="n"/>
      <c r="D849" s="385" t="n"/>
      <c r="E849" s="385" t="n"/>
      <c r="F849" s="520" t="n"/>
      <c r="G849" s="520" t="n"/>
      <c r="H849" s="385" t="n"/>
    </row>
    <row r="850">
      <c r="A850" s="385" t="n"/>
      <c r="B850" s="385" t="n"/>
      <c r="C850" s="385" t="n"/>
      <c r="D850" s="385" t="n"/>
      <c r="E850" s="385" t="n"/>
      <c r="F850" s="520" t="n"/>
      <c r="G850" s="520" t="n"/>
      <c r="H850" s="385" t="n"/>
    </row>
    <row r="851">
      <c r="A851" s="385" t="n"/>
      <c r="B851" s="385" t="n"/>
      <c r="C851" s="385" t="n"/>
      <c r="D851" s="385" t="n"/>
      <c r="E851" s="385" t="n"/>
      <c r="F851" s="520" t="n"/>
      <c r="G851" s="520" t="n"/>
      <c r="H851" s="385" t="n"/>
    </row>
    <row r="852">
      <c r="A852" s="385" t="n"/>
      <c r="B852" s="385" t="n"/>
      <c r="C852" s="385" t="n"/>
      <c r="D852" s="385" t="n"/>
      <c r="E852" s="385" t="n"/>
      <c r="F852" s="520" t="n"/>
      <c r="G852" s="520" t="n"/>
      <c r="H852" s="385" t="n"/>
    </row>
    <row r="853">
      <c r="A853" s="385" t="n"/>
      <c r="B853" s="385" t="n"/>
      <c r="C853" s="385" t="n"/>
      <c r="D853" s="385" t="n"/>
      <c r="E853" s="385" t="n"/>
      <c r="F853" s="520" t="n"/>
      <c r="G853" s="520" t="n"/>
      <c r="H853" s="385" t="n"/>
    </row>
    <row r="854">
      <c r="A854" s="385" t="n"/>
      <c r="B854" s="385" t="n"/>
      <c r="C854" s="385" t="n"/>
      <c r="D854" s="385" t="n"/>
      <c r="E854" s="385" t="n"/>
      <c r="F854" s="520" t="n"/>
      <c r="G854" s="520" t="n"/>
      <c r="H854" s="385" t="n"/>
    </row>
    <row r="855">
      <c r="A855" s="385" t="n"/>
      <c r="B855" s="385" t="n"/>
      <c r="C855" s="385" t="n"/>
      <c r="D855" s="385" t="n"/>
      <c r="E855" s="385" t="n"/>
      <c r="F855" s="520" t="n"/>
      <c r="G855" s="520" t="n"/>
      <c r="H855" s="385" t="n"/>
    </row>
    <row r="856">
      <c r="A856" s="385" t="n"/>
      <c r="B856" s="385" t="n"/>
      <c r="C856" s="385" t="n"/>
      <c r="D856" s="385" t="n"/>
      <c r="E856" s="385" t="n"/>
      <c r="F856" s="520" t="n"/>
      <c r="G856" s="520" t="n"/>
      <c r="H856" s="385" t="n"/>
    </row>
    <row r="857">
      <c r="A857" s="385" t="n"/>
      <c r="B857" s="385" t="n"/>
      <c r="C857" s="385" t="n"/>
      <c r="D857" s="385" t="n"/>
      <c r="E857" s="385" t="n"/>
      <c r="F857" s="520" t="n"/>
      <c r="G857" s="520" t="n"/>
      <c r="H857" s="385" t="n"/>
    </row>
    <row r="858">
      <c r="A858" s="385" t="n"/>
      <c r="B858" s="385" t="n"/>
      <c r="C858" s="385" t="n"/>
      <c r="D858" s="385" t="n"/>
      <c r="E858" s="385" t="n"/>
      <c r="F858" s="520" t="n"/>
      <c r="G858" s="520" t="n"/>
      <c r="H858" s="385" t="n"/>
    </row>
    <row r="859">
      <c r="A859" s="385" t="n"/>
      <c r="B859" s="385" t="n"/>
      <c r="C859" s="385" t="n"/>
      <c r="D859" s="385" t="n"/>
      <c r="E859" s="385" t="n"/>
      <c r="F859" s="520" t="n"/>
      <c r="G859" s="520" t="n"/>
      <c r="H859" s="385" t="n"/>
    </row>
    <row r="860">
      <c r="A860" s="385" t="n"/>
      <c r="B860" s="385" t="n"/>
      <c r="C860" s="385" t="n"/>
      <c r="D860" s="385" t="n"/>
      <c r="E860" s="385" t="n"/>
      <c r="F860" s="520" t="n"/>
      <c r="G860" s="520" t="n"/>
      <c r="H860" s="385" t="n"/>
    </row>
    <row r="861">
      <c r="A861" s="385" t="n"/>
      <c r="B861" s="385" t="n"/>
      <c r="C861" s="385" t="n"/>
      <c r="D861" s="385" t="n"/>
      <c r="E861" s="385" t="n"/>
      <c r="F861" s="520" t="n"/>
      <c r="G861" s="520" t="n"/>
      <c r="H861" s="385" t="n"/>
    </row>
    <row r="862">
      <c r="A862" s="385" t="n"/>
      <c r="B862" s="385" t="n"/>
      <c r="C862" s="385" t="n"/>
      <c r="D862" s="385" t="n"/>
      <c r="E862" s="385" t="n"/>
      <c r="F862" s="520" t="n"/>
      <c r="G862" s="520" t="n"/>
      <c r="H862" s="385" t="n"/>
    </row>
    <row r="863">
      <c r="A863" s="385" t="n"/>
      <c r="B863" s="385" t="n"/>
      <c r="C863" s="385" t="n"/>
      <c r="D863" s="385" t="n"/>
      <c r="E863" s="385" t="n"/>
      <c r="F863" s="520" t="n"/>
      <c r="G863" s="520" t="n"/>
      <c r="H863" s="385" t="n"/>
    </row>
    <row r="864">
      <c r="A864" s="385" t="n"/>
      <c r="B864" s="385" t="n"/>
      <c r="C864" s="385" t="n"/>
      <c r="D864" s="385" t="n"/>
      <c r="E864" s="385" t="n"/>
      <c r="F864" s="520" t="n"/>
      <c r="G864" s="520" t="n"/>
      <c r="H864" s="385" t="n"/>
    </row>
    <row r="865">
      <c r="A865" s="385" t="n"/>
      <c r="B865" s="385" t="n"/>
      <c r="C865" s="385" t="n"/>
      <c r="D865" s="385" t="n"/>
      <c r="E865" s="385" t="n"/>
      <c r="F865" s="520" t="n"/>
      <c r="G865" s="520" t="n"/>
      <c r="H865" s="385" t="n"/>
    </row>
    <row r="866">
      <c r="A866" s="385" t="n"/>
      <c r="B866" s="385" t="n"/>
      <c r="C866" s="385" t="n"/>
      <c r="D866" s="385" t="n"/>
      <c r="E866" s="385" t="n"/>
      <c r="F866" s="520" t="n"/>
      <c r="G866" s="520" t="n"/>
      <c r="H866" s="385" t="n"/>
    </row>
    <row r="867">
      <c r="A867" s="385" t="n"/>
      <c r="B867" s="385" t="n"/>
      <c r="C867" s="385" t="n"/>
      <c r="D867" s="385" t="n"/>
      <c r="E867" s="385" t="n"/>
      <c r="F867" s="520" t="n"/>
      <c r="G867" s="520" t="n"/>
      <c r="H867" s="385" t="n"/>
    </row>
    <row r="868">
      <c r="A868" s="385" t="n"/>
      <c r="B868" s="385" t="n"/>
      <c r="C868" s="385" t="n"/>
      <c r="D868" s="385" t="n"/>
      <c r="E868" s="385" t="n"/>
      <c r="F868" s="520" t="n"/>
      <c r="G868" s="520" t="n"/>
      <c r="H868" s="385" t="n"/>
    </row>
    <row r="869">
      <c r="A869" s="385" t="n"/>
      <c r="B869" s="385" t="n"/>
      <c r="C869" s="385" t="n"/>
      <c r="D869" s="385" t="n"/>
      <c r="E869" s="385" t="n"/>
      <c r="F869" s="520" t="n"/>
      <c r="G869" s="520" t="n"/>
      <c r="H869" s="385" t="n"/>
    </row>
    <row r="870">
      <c r="A870" s="385" t="n"/>
      <c r="B870" s="385" t="n"/>
      <c r="C870" s="385" t="n"/>
      <c r="D870" s="385" t="n"/>
      <c r="E870" s="385" t="n"/>
      <c r="F870" s="520" t="n"/>
      <c r="G870" s="520" t="n"/>
      <c r="H870" s="385" t="n"/>
    </row>
    <row r="871">
      <c r="A871" s="385" t="n"/>
      <c r="B871" s="385" t="n"/>
      <c r="C871" s="385" t="n"/>
      <c r="D871" s="385" t="n"/>
      <c r="E871" s="385" t="n"/>
      <c r="F871" s="520" t="n"/>
      <c r="G871" s="520" t="n"/>
      <c r="H871" s="385" t="n"/>
    </row>
    <row r="872">
      <c r="A872" s="385" t="n"/>
      <c r="B872" s="385" t="n"/>
      <c r="C872" s="385" t="n"/>
      <c r="D872" s="385" t="n"/>
      <c r="E872" s="385" t="n"/>
      <c r="F872" s="520" t="n"/>
      <c r="G872" s="520" t="n"/>
      <c r="H872" s="385" t="n"/>
    </row>
    <row r="873">
      <c r="A873" s="385" t="n"/>
      <c r="B873" s="385" t="n"/>
      <c r="C873" s="385" t="n"/>
      <c r="D873" s="385" t="n"/>
      <c r="E873" s="385" t="n"/>
      <c r="F873" s="520" t="n"/>
      <c r="G873" s="520" t="n"/>
      <c r="H873" s="385" t="n"/>
    </row>
    <row r="874">
      <c r="A874" s="385" t="n"/>
      <c r="B874" s="385" t="n"/>
      <c r="C874" s="385" t="n"/>
      <c r="D874" s="385" t="n"/>
      <c r="E874" s="385" t="n"/>
      <c r="F874" s="520" t="n"/>
      <c r="G874" s="520" t="n"/>
      <c r="H874" s="385" t="n"/>
    </row>
    <row r="875">
      <c r="A875" s="385" t="n"/>
      <c r="B875" s="385" t="n"/>
      <c r="C875" s="385" t="n"/>
      <c r="D875" s="385" t="n"/>
      <c r="E875" s="385" t="n"/>
      <c r="F875" s="520" t="n"/>
      <c r="G875" s="520" t="n"/>
      <c r="H875" s="385" t="n"/>
    </row>
    <row r="876">
      <c r="A876" s="385" t="n"/>
      <c r="B876" s="385" t="n"/>
      <c r="C876" s="385" t="n"/>
      <c r="D876" s="385" t="n"/>
      <c r="E876" s="385" t="n"/>
      <c r="F876" s="520" t="n"/>
      <c r="G876" s="520" t="n"/>
      <c r="H876" s="385" t="n"/>
    </row>
    <row r="877">
      <c r="A877" s="385" t="n"/>
      <c r="B877" s="385" t="n"/>
      <c r="C877" s="385" t="n"/>
      <c r="D877" s="385" t="n"/>
      <c r="E877" s="385" t="n"/>
      <c r="F877" s="520" t="n"/>
      <c r="G877" s="520" t="n"/>
      <c r="H877" s="385" t="n"/>
    </row>
    <row r="878">
      <c r="A878" s="385" t="n"/>
      <c r="B878" s="385" t="n"/>
      <c r="C878" s="385" t="n"/>
      <c r="D878" s="385" t="n"/>
      <c r="E878" s="385" t="n"/>
      <c r="F878" s="520" t="n"/>
      <c r="G878" s="520" t="n"/>
      <c r="H878" s="385" t="n"/>
    </row>
    <row r="879">
      <c r="A879" s="385" t="n"/>
      <c r="B879" s="385" t="n"/>
      <c r="C879" s="385" t="n"/>
      <c r="D879" s="385" t="n"/>
      <c r="E879" s="385" t="n"/>
      <c r="F879" s="520" t="n"/>
      <c r="G879" s="520" t="n"/>
      <c r="H879" s="385" t="n"/>
    </row>
    <row r="880">
      <c r="A880" s="385" t="n"/>
      <c r="B880" s="385" t="n"/>
      <c r="C880" s="385" t="n"/>
      <c r="D880" s="385" t="n"/>
      <c r="E880" s="385" t="n"/>
      <c r="F880" s="520" t="n"/>
      <c r="G880" s="520" t="n"/>
      <c r="H880" s="385" t="n"/>
    </row>
    <row r="881">
      <c r="A881" s="385" t="n"/>
      <c r="B881" s="385" t="n"/>
      <c r="C881" s="385" t="n"/>
      <c r="D881" s="385" t="n"/>
      <c r="E881" s="385" t="n"/>
      <c r="F881" s="520" t="n"/>
      <c r="G881" s="520" t="n"/>
      <c r="H881" s="385" t="n"/>
    </row>
    <row r="882">
      <c r="A882" s="385" t="n"/>
      <c r="B882" s="385" t="n"/>
      <c r="C882" s="385" t="n"/>
      <c r="D882" s="385" t="n"/>
      <c r="E882" s="385" t="n"/>
      <c r="F882" s="520" t="n"/>
      <c r="G882" s="520" t="n"/>
      <c r="H882" s="385" t="n"/>
    </row>
    <row r="883">
      <c r="A883" s="385" t="n"/>
      <c r="B883" s="385" t="n"/>
      <c r="C883" s="385" t="n"/>
      <c r="D883" s="385" t="n"/>
      <c r="E883" s="385" t="n"/>
      <c r="F883" s="520" t="n"/>
      <c r="G883" s="520" t="n"/>
      <c r="H883" s="385" t="n"/>
    </row>
    <row r="884">
      <c r="A884" s="385" t="n"/>
      <c r="B884" s="385" t="n"/>
      <c r="C884" s="385" t="n"/>
      <c r="D884" s="385" t="n"/>
      <c r="E884" s="385" t="n"/>
      <c r="F884" s="520" t="n"/>
      <c r="G884" s="520" t="n"/>
      <c r="H884" s="385" t="n"/>
    </row>
    <row r="885">
      <c r="A885" s="385" t="n"/>
      <c r="B885" s="385" t="n"/>
      <c r="C885" s="385" t="n"/>
      <c r="D885" s="385" t="n"/>
      <c r="E885" s="385" t="n"/>
      <c r="F885" s="520" t="n"/>
      <c r="G885" s="520" t="n"/>
      <c r="H885" s="385" t="n"/>
    </row>
    <row r="886">
      <c r="A886" s="385" t="n"/>
      <c r="B886" s="385" t="n"/>
      <c r="C886" s="385" t="n"/>
      <c r="D886" s="385" t="n"/>
      <c r="E886" s="385" t="n"/>
      <c r="F886" s="520" t="n"/>
      <c r="G886" s="520" t="n"/>
      <c r="H886" s="385" t="n"/>
    </row>
    <row r="887">
      <c r="A887" s="385" t="n"/>
      <c r="B887" s="385" t="n"/>
      <c r="C887" s="385" t="n"/>
      <c r="D887" s="385" t="n"/>
      <c r="E887" s="385" t="n"/>
      <c r="F887" s="520" t="n"/>
      <c r="G887" s="520" t="n"/>
      <c r="H887" s="385" t="n"/>
    </row>
    <row r="888">
      <c r="A888" s="385" t="n"/>
      <c r="B888" s="385" t="n"/>
      <c r="C888" s="385" t="n"/>
      <c r="D888" s="385" t="n"/>
      <c r="E888" s="385" t="n"/>
      <c r="F888" s="520" t="n"/>
      <c r="G888" s="520" t="n"/>
      <c r="H888" s="385" t="n"/>
    </row>
    <row r="889">
      <c r="A889" s="385" t="n"/>
      <c r="B889" s="385" t="n"/>
      <c r="C889" s="385" t="n"/>
      <c r="D889" s="385" t="n"/>
      <c r="E889" s="385" t="n"/>
      <c r="F889" s="520" t="n"/>
      <c r="G889" s="520" t="n"/>
      <c r="H889" s="385" t="n"/>
    </row>
    <row r="890">
      <c r="A890" s="385" t="n"/>
      <c r="B890" s="385" t="n"/>
      <c r="C890" s="385" t="n"/>
      <c r="D890" s="385" t="n"/>
      <c r="E890" s="385" t="n"/>
      <c r="F890" s="520" t="n"/>
      <c r="G890" s="520" t="n"/>
      <c r="H890" s="385" t="n"/>
    </row>
    <row r="891">
      <c r="A891" s="385" t="n"/>
      <c r="B891" s="385" t="n"/>
      <c r="C891" s="385" t="n"/>
      <c r="D891" s="385" t="n"/>
      <c r="E891" s="385" t="n"/>
      <c r="F891" s="520" t="n"/>
      <c r="G891" s="520" t="n"/>
      <c r="H891" s="385" t="n"/>
    </row>
    <row r="892">
      <c r="A892" s="385" t="n"/>
      <c r="B892" s="385" t="n"/>
      <c r="C892" s="385" t="n"/>
      <c r="D892" s="385" t="n"/>
      <c r="E892" s="385" t="n"/>
      <c r="F892" s="520" t="n"/>
      <c r="G892" s="520" t="n"/>
      <c r="H892" s="385" t="n"/>
    </row>
    <row r="893">
      <c r="A893" s="385" t="n"/>
      <c r="B893" s="385" t="n"/>
      <c r="C893" s="385" t="n"/>
      <c r="D893" s="385" t="n"/>
      <c r="E893" s="385" t="n"/>
      <c r="F893" s="520" t="n"/>
      <c r="G893" s="520" t="n"/>
      <c r="H893" s="385" t="n"/>
    </row>
    <row r="894">
      <c r="A894" s="385" t="n"/>
      <c r="B894" s="385" t="n"/>
      <c r="C894" s="385" t="n"/>
      <c r="D894" s="385" t="n"/>
      <c r="E894" s="385" t="n"/>
      <c r="F894" s="520" t="n"/>
      <c r="G894" s="520" t="n"/>
      <c r="H894" s="385" t="n"/>
    </row>
    <row r="895">
      <c r="A895" s="385" t="n"/>
      <c r="B895" s="385" t="n"/>
      <c r="C895" s="385" t="n"/>
      <c r="D895" s="385" t="n"/>
      <c r="E895" s="385" t="n"/>
      <c r="F895" s="520" t="n"/>
      <c r="G895" s="520" t="n"/>
      <c r="H895" s="385" t="n"/>
    </row>
    <row r="896">
      <c r="A896" s="385" t="n"/>
      <c r="B896" s="385" t="n"/>
      <c r="C896" s="385" t="n"/>
      <c r="D896" s="385" t="n"/>
      <c r="E896" s="385" t="n"/>
      <c r="F896" s="520" t="n"/>
      <c r="G896" s="520" t="n"/>
      <c r="H896" s="385" t="n"/>
    </row>
    <row r="897">
      <c r="A897" s="385" t="n"/>
      <c r="B897" s="385" t="n"/>
      <c r="C897" s="385" t="n"/>
      <c r="D897" s="385" t="n"/>
      <c r="E897" s="385" t="n"/>
      <c r="F897" s="520" t="n"/>
      <c r="G897" s="520" t="n"/>
      <c r="H897" s="385" t="n"/>
    </row>
    <row r="898">
      <c r="A898" s="385" t="n"/>
      <c r="B898" s="385" t="n"/>
      <c r="C898" s="385" t="n"/>
      <c r="D898" s="385" t="n"/>
      <c r="E898" s="385" t="n"/>
      <c r="F898" s="520" t="n"/>
      <c r="G898" s="520" t="n"/>
      <c r="H898" s="385" t="n"/>
    </row>
    <row r="899">
      <c r="A899" s="385" t="n"/>
      <c r="B899" s="385" t="n"/>
      <c r="C899" s="385" t="n"/>
      <c r="D899" s="385" t="n"/>
      <c r="E899" s="385" t="n"/>
      <c r="F899" s="520" t="n"/>
      <c r="G899" s="520" t="n"/>
      <c r="H899" s="385" t="n"/>
    </row>
    <row r="900">
      <c r="A900" s="385" t="n"/>
      <c r="B900" s="385" t="n"/>
      <c r="C900" s="385" t="n"/>
      <c r="D900" s="385" t="n"/>
      <c r="E900" s="385" t="n"/>
      <c r="F900" s="520" t="n"/>
      <c r="G900" s="520" t="n"/>
      <c r="H900" s="385" t="n"/>
    </row>
    <row r="901">
      <c r="A901" s="385" t="n"/>
      <c r="B901" s="385" t="n"/>
      <c r="C901" s="385" t="n"/>
      <c r="D901" s="385" t="n"/>
      <c r="E901" s="385" t="n"/>
      <c r="F901" s="520" t="n"/>
      <c r="G901" s="520" t="n"/>
      <c r="H901" s="385" t="n"/>
    </row>
    <row r="902">
      <c r="A902" s="385" t="n"/>
      <c r="B902" s="385" t="n"/>
      <c r="C902" s="385" t="n"/>
      <c r="D902" s="385" t="n"/>
      <c r="E902" s="385" t="n"/>
      <c r="F902" s="520" t="n"/>
      <c r="G902" s="520" t="n"/>
      <c r="H902" s="385" t="n"/>
    </row>
    <row r="903">
      <c r="A903" s="385" t="n"/>
      <c r="B903" s="385" t="n"/>
      <c r="C903" s="385" t="n"/>
      <c r="D903" s="385" t="n"/>
      <c r="E903" s="385" t="n"/>
      <c r="F903" s="520" t="n"/>
      <c r="G903" s="520" t="n"/>
      <c r="H903" s="385" t="n"/>
    </row>
    <row r="904">
      <c r="A904" s="385" t="n"/>
      <c r="B904" s="385" t="n"/>
      <c r="C904" s="385" t="n"/>
      <c r="D904" s="385" t="n"/>
      <c r="E904" s="385" t="n"/>
      <c r="F904" s="520" t="n"/>
      <c r="G904" s="520" t="n"/>
      <c r="H904" s="385" t="n"/>
    </row>
    <row r="905">
      <c r="A905" s="385" t="n"/>
      <c r="B905" s="385" t="n"/>
      <c r="C905" s="385" t="n"/>
      <c r="D905" s="385" t="n"/>
      <c r="E905" s="385" t="n"/>
      <c r="F905" s="520" t="n"/>
      <c r="G905" s="520" t="n"/>
      <c r="H905" s="385" t="n"/>
    </row>
    <row r="906">
      <c r="A906" s="385" t="n"/>
      <c r="B906" s="385" t="n"/>
      <c r="C906" s="385" t="n"/>
      <c r="D906" s="385" t="n"/>
      <c r="E906" s="385" t="n"/>
      <c r="F906" s="520" t="n"/>
      <c r="G906" s="520" t="n"/>
      <c r="H906" s="385" t="n"/>
    </row>
    <row r="907">
      <c r="A907" s="385" t="n"/>
      <c r="B907" s="385" t="n"/>
      <c r="C907" s="385" t="n"/>
      <c r="D907" s="385" t="n"/>
      <c r="E907" s="385" t="n"/>
      <c r="F907" s="520" t="n"/>
      <c r="G907" s="520" t="n"/>
      <c r="H907" s="385" t="n"/>
    </row>
    <row r="908">
      <c r="A908" s="385" t="n"/>
      <c r="B908" s="385" t="n"/>
      <c r="C908" s="385" t="n"/>
      <c r="D908" s="385" t="n"/>
      <c r="E908" s="385" t="n"/>
      <c r="F908" s="520" t="n"/>
      <c r="G908" s="520" t="n"/>
      <c r="H908" s="385" t="n"/>
    </row>
    <row r="909">
      <c r="A909" s="385" t="n"/>
      <c r="B909" s="385" t="n"/>
      <c r="C909" s="385" t="n"/>
      <c r="D909" s="385" t="n"/>
      <c r="E909" s="385" t="n"/>
      <c r="F909" s="520" t="n"/>
      <c r="G909" s="520" t="n"/>
      <c r="H909" s="385" t="n"/>
    </row>
    <row r="910">
      <c r="A910" s="385" t="n"/>
      <c r="B910" s="385" t="n"/>
      <c r="C910" s="385" t="n"/>
      <c r="D910" s="385" t="n"/>
      <c r="E910" s="385" t="n"/>
      <c r="F910" s="520" t="n"/>
      <c r="G910" s="520" t="n"/>
      <c r="H910" s="385" t="n"/>
    </row>
    <row r="911">
      <c r="A911" s="385" t="n"/>
      <c r="B911" s="385" t="n"/>
      <c r="C911" s="385" t="n"/>
      <c r="D911" s="385" t="n"/>
      <c r="E911" s="385" t="n"/>
      <c r="F911" s="520" t="n"/>
      <c r="G911" s="520" t="n"/>
      <c r="H911" s="385" t="n"/>
    </row>
    <row r="912">
      <c r="A912" s="385" t="n"/>
      <c r="B912" s="385" t="n"/>
      <c r="C912" s="385" t="n"/>
      <c r="D912" s="385" t="n"/>
      <c r="E912" s="385" t="n"/>
      <c r="F912" s="520" t="n"/>
      <c r="G912" s="520" t="n"/>
      <c r="H912" s="385" t="n"/>
    </row>
    <row r="913">
      <c r="A913" s="385" t="n"/>
      <c r="B913" s="385" t="n"/>
      <c r="C913" s="385" t="n"/>
      <c r="D913" s="385" t="n"/>
      <c r="E913" s="385" t="n"/>
      <c r="F913" s="520" t="n"/>
      <c r="G913" s="520" t="n"/>
      <c r="H913" s="385" t="n"/>
    </row>
    <row r="914">
      <c r="A914" s="385" t="n"/>
      <c r="B914" s="385" t="n"/>
      <c r="C914" s="385" t="n"/>
      <c r="D914" s="385" t="n"/>
      <c r="E914" s="385" t="n"/>
      <c r="F914" s="520" t="n"/>
      <c r="G914" s="520" t="n"/>
      <c r="H914" s="385" t="n"/>
    </row>
    <row r="915">
      <c r="A915" s="385" t="n"/>
      <c r="B915" s="385" t="n"/>
      <c r="C915" s="385" t="n"/>
      <c r="D915" s="385" t="n"/>
      <c r="E915" s="385" t="n"/>
      <c r="F915" s="520" t="n"/>
      <c r="G915" s="520" t="n"/>
      <c r="H915" s="385" t="n"/>
    </row>
    <row r="916">
      <c r="A916" s="385" t="n"/>
      <c r="B916" s="385" t="n"/>
      <c r="C916" s="385" t="n"/>
      <c r="D916" s="385" t="n"/>
      <c r="E916" s="385" t="n"/>
      <c r="F916" s="520" t="n"/>
      <c r="G916" s="520" t="n"/>
      <c r="H916" s="385" t="n"/>
    </row>
    <row r="917">
      <c r="A917" s="385" t="n"/>
      <c r="B917" s="385" t="n"/>
      <c r="C917" s="385" t="n"/>
      <c r="D917" s="385" t="n"/>
      <c r="E917" s="385" t="n"/>
      <c r="F917" s="520" t="n"/>
      <c r="G917" s="520" t="n"/>
      <c r="H917" s="385" t="n"/>
    </row>
    <row r="918">
      <c r="A918" s="385" t="n"/>
      <c r="B918" s="385" t="n"/>
      <c r="C918" s="385" t="n"/>
      <c r="D918" s="385" t="n"/>
      <c r="E918" s="385" t="n"/>
      <c r="F918" s="520" t="n"/>
      <c r="G918" s="520" t="n"/>
      <c r="H918" s="385" t="n"/>
    </row>
    <row r="919">
      <c r="A919" s="385" t="n"/>
      <c r="B919" s="385" t="n"/>
      <c r="C919" s="385" t="n"/>
      <c r="D919" s="385" t="n"/>
      <c r="E919" s="385" t="n"/>
      <c r="F919" s="520" t="n"/>
      <c r="G919" s="520" t="n"/>
      <c r="H919" s="385" t="n"/>
    </row>
    <row r="920">
      <c r="A920" s="385" t="n"/>
      <c r="B920" s="385" t="n"/>
      <c r="C920" s="385" t="n"/>
      <c r="D920" s="385" t="n"/>
      <c r="E920" s="385" t="n"/>
      <c r="F920" s="520" t="n"/>
      <c r="G920" s="520" t="n"/>
      <c r="H920" s="385" t="n"/>
    </row>
    <row r="921">
      <c r="A921" s="385" t="n"/>
      <c r="B921" s="385" t="n"/>
      <c r="C921" s="385" t="n"/>
      <c r="D921" s="385" t="n"/>
      <c r="E921" s="385" t="n"/>
      <c r="F921" s="520" t="n"/>
      <c r="G921" s="520" t="n"/>
      <c r="H921" s="385" t="n"/>
    </row>
    <row r="922">
      <c r="A922" s="385" t="n"/>
      <c r="B922" s="385" t="n"/>
      <c r="C922" s="385" t="n"/>
      <c r="D922" s="385" t="n"/>
      <c r="E922" s="385" t="n"/>
      <c r="F922" s="520" t="n"/>
      <c r="G922" s="520" t="n"/>
      <c r="H922" s="385" t="n"/>
    </row>
    <row r="923">
      <c r="A923" s="385" t="n"/>
      <c r="B923" s="385" t="n"/>
      <c r="C923" s="385" t="n"/>
      <c r="D923" s="385" t="n"/>
      <c r="E923" s="385" t="n"/>
      <c r="F923" s="520" t="n"/>
      <c r="G923" s="520" t="n"/>
      <c r="H923" s="385" t="n"/>
    </row>
    <row r="924">
      <c r="A924" s="385" t="n"/>
      <c r="B924" s="385" t="n"/>
      <c r="C924" s="385" t="n"/>
      <c r="D924" s="385" t="n"/>
      <c r="E924" s="385" t="n"/>
      <c r="F924" s="520" t="n"/>
      <c r="G924" s="520" t="n"/>
      <c r="H924" s="385" t="n"/>
    </row>
    <row r="925">
      <c r="A925" s="385" t="n"/>
      <c r="B925" s="385" t="n"/>
      <c r="C925" s="385" t="n"/>
      <c r="D925" s="385" t="n"/>
      <c r="E925" s="385" t="n"/>
      <c r="F925" s="520" t="n"/>
      <c r="G925" s="520" t="n"/>
      <c r="H925" s="385" t="n"/>
    </row>
    <row r="926">
      <c r="A926" s="385" t="n"/>
      <c r="B926" s="385" t="n"/>
      <c r="C926" s="385" t="n"/>
      <c r="D926" s="385" t="n"/>
      <c r="E926" s="385" t="n"/>
      <c r="F926" s="520" t="n"/>
      <c r="G926" s="520" t="n"/>
      <c r="H926" s="385" t="n"/>
    </row>
    <row r="927">
      <c r="A927" s="385" t="n"/>
      <c r="B927" s="385" t="n"/>
      <c r="C927" s="385" t="n"/>
      <c r="D927" s="385" t="n"/>
      <c r="E927" s="385" t="n"/>
      <c r="F927" s="520" t="n"/>
      <c r="G927" s="520" t="n"/>
      <c r="H927" s="385" t="n"/>
    </row>
    <row r="928">
      <c r="A928" s="385" t="n"/>
      <c r="B928" s="385" t="n"/>
      <c r="C928" s="385" t="n"/>
      <c r="D928" s="385" t="n"/>
      <c r="E928" s="385" t="n"/>
      <c r="F928" s="520" t="n"/>
      <c r="G928" s="520" t="n"/>
      <c r="H928" s="385" t="n"/>
    </row>
    <row r="929">
      <c r="A929" s="385" t="n"/>
      <c r="B929" s="385" t="n"/>
      <c r="C929" s="385" t="n"/>
      <c r="D929" s="385" t="n"/>
      <c r="E929" s="385" t="n"/>
      <c r="F929" s="520" t="n"/>
      <c r="G929" s="520" t="n"/>
      <c r="H929" s="385" t="n"/>
    </row>
    <row r="930">
      <c r="A930" s="385" t="n"/>
      <c r="B930" s="385" t="n"/>
      <c r="C930" s="385" t="n"/>
      <c r="D930" s="385" t="n"/>
      <c r="E930" s="385" t="n"/>
      <c r="F930" s="520" t="n"/>
      <c r="G930" s="520" t="n"/>
      <c r="H930" s="385" t="n"/>
    </row>
    <row r="931">
      <c r="A931" s="385" t="n"/>
      <c r="B931" s="385" t="n"/>
      <c r="C931" s="385" t="n"/>
      <c r="D931" s="385" t="n"/>
      <c r="E931" s="385" t="n"/>
      <c r="F931" s="520" t="n"/>
      <c r="G931" s="520" t="n"/>
      <c r="H931" s="385" t="n"/>
    </row>
    <row r="932">
      <c r="A932" s="385" t="n"/>
      <c r="B932" s="385" t="n"/>
      <c r="C932" s="385" t="n"/>
      <c r="D932" s="385" t="n"/>
      <c r="E932" s="385" t="n"/>
      <c r="F932" s="520" t="n"/>
      <c r="G932" s="520" t="n"/>
      <c r="H932" s="385" t="n"/>
    </row>
    <row r="933">
      <c r="A933" s="385" t="n"/>
      <c r="B933" s="385" t="n"/>
      <c r="C933" s="385" t="n"/>
      <c r="D933" s="385" t="n"/>
      <c r="E933" s="385" t="n"/>
      <c r="F933" s="520" t="n"/>
      <c r="G933" s="520" t="n"/>
      <c r="H933" s="385" t="n"/>
    </row>
    <row r="934">
      <c r="A934" s="385" t="n"/>
      <c r="B934" s="385" t="n"/>
      <c r="C934" s="385" t="n"/>
      <c r="D934" s="385" t="n"/>
      <c r="E934" s="385" t="n"/>
      <c r="F934" s="520" t="n"/>
      <c r="G934" s="520" t="n"/>
      <c r="H934" s="385" t="n"/>
    </row>
    <row r="935">
      <c r="A935" s="385" t="n"/>
      <c r="B935" s="385" t="n"/>
      <c r="C935" s="385" t="n"/>
      <c r="D935" s="385" t="n"/>
      <c r="E935" s="385" t="n"/>
      <c r="F935" s="520" t="n"/>
      <c r="G935" s="520" t="n"/>
      <c r="H935" s="385" t="n"/>
    </row>
    <row r="936">
      <c r="A936" s="385" t="n"/>
      <c r="B936" s="385" t="n"/>
      <c r="C936" s="385" t="n"/>
      <c r="D936" s="385" t="n"/>
      <c r="E936" s="385" t="n"/>
      <c r="F936" s="520" t="n"/>
      <c r="G936" s="520" t="n"/>
      <c r="H936" s="385" t="n"/>
    </row>
    <row r="937">
      <c r="A937" s="385" t="n"/>
      <c r="B937" s="385" t="n"/>
      <c r="C937" s="385" t="n"/>
      <c r="D937" s="385" t="n"/>
      <c r="E937" s="385" t="n"/>
      <c r="F937" s="520" t="n"/>
      <c r="G937" s="520" t="n"/>
      <c r="H937" s="385" t="n"/>
    </row>
    <row r="938">
      <c r="A938" s="385" t="n"/>
      <c r="B938" s="385" t="n"/>
      <c r="C938" s="385" t="n"/>
      <c r="D938" s="385" t="n"/>
      <c r="E938" s="385" t="n"/>
      <c r="F938" s="520" t="n"/>
      <c r="G938" s="520" t="n"/>
      <c r="H938" s="385" t="n"/>
    </row>
    <row r="939">
      <c r="A939" s="385" t="n"/>
      <c r="B939" s="385" t="n"/>
      <c r="C939" s="385" t="n"/>
      <c r="D939" s="385" t="n"/>
      <c r="E939" s="385" t="n"/>
      <c r="F939" s="520" t="n"/>
      <c r="G939" s="520" t="n"/>
      <c r="H939" s="385" t="n"/>
    </row>
    <row r="940">
      <c r="A940" s="385" t="n"/>
      <c r="B940" s="385" t="n"/>
      <c r="C940" s="385" t="n"/>
      <c r="D940" s="385" t="n"/>
      <c r="E940" s="385" t="n"/>
      <c r="F940" s="520" t="n"/>
      <c r="G940" s="520" t="n"/>
      <c r="H940" s="385" t="n"/>
    </row>
    <row r="941">
      <c r="A941" s="385" t="n"/>
      <c r="B941" s="385" t="n"/>
      <c r="C941" s="385" t="n"/>
      <c r="D941" s="385" t="n"/>
      <c r="E941" s="385" t="n"/>
      <c r="F941" s="520" t="n"/>
      <c r="G941" s="520" t="n"/>
      <c r="H941" s="385" t="n"/>
    </row>
    <row r="942">
      <c r="A942" s="385" t="n"/>
      <c r="B942" s="385" t="n"/>
      <c r="C942" s="385" t="n"/>
      <c r="D942" s="385" t="n"/>
      <c r="E942" s="385" t="n"/>
      <c r="F942" s="520" t="n"/>
      <c r="G942" s="520" t="n"/>
      <c r="H942" s="385" t="n"/>
    </row>
    <row r="943">
      <c r="A943" s="385" t="n"/>
      <c r="B943" s="385" t="n"/>
      <c r="C943" s="385" t="n"/>
      <c r="D943" s="385" t="n"/>
      <c r="E943" s="385" t="n"/>
      <c r="F943" s="520" t="n"/>
      <c r="G943" s="520" t="n"/>
      <c r="H943" s="385" t="n"/>
    </row>
    <row r="944">
      <c r="A944" s="385" t="n"/>
      <c r="B944" s="385" t="n"/>
      <c r="C944" s="385" t="n"/>
      <c r="D944" s="385" t="n"/>
      <c r="E944" s="385" t="n"/>
      <c r="F944" s="520" t="n"/>
      <c r="G944" s="520" t="n"/>
      <c r="H944" s="385" t="n"/>
    </row>
    <row r="945">
      <c r="A945" s="385" t="n"/>
      <c r="B945" s="385" t="n"/>
      <c r="C945" s="385" t="n"/>
      <c r="D945" s="385" t="n"/>
      <c r="E945" s="385" t="n"/>
      <c r="F945" s="520" t="n"/>
      <c r="G945" s="520" t="n"/>
      <c r="H945" s="385" t="n"/>
    </row>
    <row r="946">
      <c r="A946" s="385" t="n"/>
      <c r="B946" s="385" t="n"/>
      <c r="C946" s="385" t="n"/>
      <c r="D946" s="385" t="n"/>
      <c r="E946" s="385" t="n"/>
      <c r="F946" s="520" t="n"/>
      <c r="G946" s="520" t="n"/>
      <c r="H946" s="385" t="n"/>
    </row>
    <row r="947">
      <c r="A947" s="385" t="n"/>
      <c r="B947" s="385" t="n"/>
      <c r="C947" s="385" t="n"/>
      <c r="D947" s="385" t="n"/>
      <c r="E947" s="385" t="n"/>
      <c r="F947" s="520" t="n"/>
      <c r="G947" s="520" t="n"/>
      <c r="H947" s="385" t="n"/>
    </row>
    <row r="948">
      <c r="A948" s="385" t="n"/>
      <c r="B948" s="385" t="n"/>
      <c r="C948" s="385" t="n"/>
      <c r="D948" s="385" t="n"/>
      <c r="E948" s="385" t="n"/>
      <c r="F948" s="520" t="n"/>
      <c r="G948" s="520" t="n"/>
      <c r="H948" s="385" t="n"/>
    </row>
    <row r="949">
      <c r="A949" s="385" t="n"/>
      <c r="B949" s="385" t="n"/>
      <c r="C949" s="385" t="n"/>
      <c r="D949" s="385" t="n"/>
      <c r="E949" s="385" t="n"/>
      <c r="F949" s="520" t="n"/>
      <c r="G949" s="520" t="n"/>
      <c r="H949" s="385" t="n"/>
    </row>
    <row r="950">
      <c r="A950" s="385" t="n"/>
      <c r="B950" s="385" t="n"/>
      <c r="C950" s="385" t="n"/>
      <c r="D950" s="385" t="n"/>
      <c r="E950" s="385" t="n"/>
      <c r="F950" s="520" t="n"/>
      <c r="G950" s="520" t="n"/>
      <c r="H950" s="385" t="n"/>
    </row>
    <row r="951">
      <c r="A951" s="385" t="n"/>
      <c r="B951" s="385" t="n"/>
      <c r="C951" s="385" t="n"/>
      <c r="D951" s="385" t="n"/>
      <c r="E951" s="385" t="n"/>
      <c r="F951" s="520" t="n"/>
      <c r="G951" s="520" t="n"/>
      <c r="H951" s="385" t="n"/>
    </row>
    <row r="952">
      <c r="A952" s="385" t="n"/>
      <c r="B952" s="385" t="n"/>
      <c r="C952" s="385" t="n"/>
      <c r="D952" s="385" t="n"/>
      <c r="E952" s="385" t="n"/>
      <c r="F952" s="520" t="n"/>
      <c r="G952" s="520" t="n"/>
      <c r="H952" s="385" t="n"/>
    </row>
    <row r="953">
      <c r="A953" s="385" t="n"/>
      <c r="B953" s="385" t="n"/>
      <c r="C953" s="385" t="n"/>
      <c r="D953" s="385" t="n"/>
      <c r="E953" s="385" t="n"/>
      <c r="F953" s="520" t="n"/>
      <c r="G953" s="520" t="n"/>
      <c r="H953" s="385" t="n"/>
    </row>
    <row r="954">
      <c r="A954" s="385" t="n"/>
      <c r="B954" s="385" t="n"/>
      <c r="C954" s="385" t="n"/>
      <c r="D954" s="385" t="n"/>
      <c r="E954" s="385" t="n"/>
      <c r="F954" s="520" t="n"/>
      <c r="G954" s="520" t="n"/>
      <c r="H954" s="385" t="n"/>
    </row>
    <row r="955">
      <c r="A955" s="385" t="n"/>
      <c r="B955" s="385" t="n"/>
      <c r="C955" s="385" t="n"/>
      <c r="D955" s="385" t="n"/>
      <c r="E955" s="385" t="n"/>
      <c r="F955" s="520" t="n"/>
      <c r="G955" s="520" t="n"/>
      <c r="H955" s="385" t="n"/>
    </row>
    <row r="956">
      <c r="A956" s="385" t="n"/>
      <c r="B956" s="385" t="n"/>
      <c r="C956" s="385" t="n"/>
      <c r="D956" s="385" t="n"/>
      <c r="E956" s="385" t="n"/>
      <c r="F956" s="520" t="n"/>
      <c r="G956" s="520" t="n"/>
      <c r="H956" s="385" t="n"/>
    </row>
    <row r="957">
      <c r="A957" s="385" t="n"/>
      <c r="B957" s="385" t="n"/>
      <c r="C957" s="385" t="n"/>
      <c r="D957" s="385" t="n"/>
      <c r="E957" s="385" t="n"/>
      <c r="F957" s="520" t="n"/>
      <c r="G957" s="520" t="n"/>
      <c r="H957" s="385" t="n"/>
    </row>
    <row r="958">
      <c r="A958" s="385" t="n"/>
      <c r="B958" s="385" t="n"/>
      <c r="C958" s="385" t="n"/>
      <c r="D958" s="385" t="n"/>
      <c r="E958" s="385" t="n"/>
      <c r="F958" s="520" t="n"/>
      <c r="G958" s="520" t="n"/>
      <c r="H958" s="385" t="n"/>
    </row>
    <row r="959">
      <c r="A959" s="385" t="n"/>
      <c r="B959" s="385" t="n"/>
      <c r="C959" s="385" t="n"/>
      <c r="D959" s="385" t="n"/>
      <c r="E959" s="385" t="n"/>
      <c r="F959" s="520" t="n"/>
      <c r="G959" s="520" t="n"/>
      <c r="H959" s="385" t="n"/>
    </row>
    <row r="960">
      <c r="A960" s="385" t="n"/>
      <c r="B960" s="385" t="n"/>
      <c r="C960" s="385" t="n"/>
      <c r="D960" s="385" t="n"/>
      <c r="E960" s="385" t="n"/>
      <c r="F960" s="520" t="n"/>
      <c r="G960" s="520" t="n"/>
      <c r="H960" s="385" t="n"/>
    </row>
    <row r="961">
      <c r="A961" s="385" t="n"/>
      <c r="B961" s="385" t="n"/>
      <c r="C961" s="385" t="n"/>
      <c r="D961" s="385" t="n"/>
      <c r="E961" s="385" t="n"/>
      <c r="F961" s="520" t="n"/>
      <c r="G961" s="520" t="n"/>
      <c r="H961" s="385" t="n"/>
    </row>
    <row r="962">
      <c r="A962" s="385" t="n"/>
      <c r="B962" s="385" t="n"/>
      <c r="C962" s="385" t="n"/>
      <c r="D962" s="385" t="n"/>
      <c r="E962" s="385" t="n"/>
      <c r="F962" s="520" t="n"/>
      <c r="G962" s="520" t="n"/>
      <c r="H962" s="385" t="n"/>
    </row>
    <row r="963">
      <c r="A963" s="385" t="n"/>
      <c r="B963" s="385" t="n"/>
      <c r="C963" s="385" t="n"/>
      <c r="D963" s="385" t="n"/>
      <c r="E963" s="385" t="n"/>
      <c r="F963" s="520" t="n"/>
      <c r="G963" s="520" t="n"/>
      <c r="H963" s="385" t="n"/>
    </row>
    <row r="964">
      <c r="A964" s="385" t="n"/>
      <c r="B964" s="385" t="n"/>
      <c r="C964" s="385" t="n"/>
      <c r="D964" s="385" t="n"/>
      <c r="E964" s="385" t="n"/>
      <c r="F964" s="520" t="n"/>
      <c r="G964" s="520" t="n"/>
      <c r="H964" s="385" t="n"/>
    </row>
    <row r="965">
      <c r="A965" s="385" t="n"/>
      <c r="B965" s="385" t="n"/>
      <c r="C965" s="385" t="n"/>
      <c r="D965" s="385" t="n"/>
      <c r="E965" s="385" t="n"/>
      <c r="F965" s="520" t="n"/>
      <c r="G965" s="520" t="n"/>
      <c r="H965" s="385" t="n"/>
    </row>
    <row r="966">
      <c r="A966" s="385" t="n"/>
      <c r="B966" s="385" t="n"/>
      <c r="C966" s="385" t="n"/>
      <c r="D966" s="385" t="n"/>
      <c r="E966" s="385" t="n"/>
      <c r="F966" s="520" t="n"/>
      <c r="G966" s="520" t="n"/>
      <c r="H966" s="385" t="n"/>
    </row>
    <row r="967">
      <c r="A967" s="385" t="n"/>
      <c r="B967" s="385" t="n"/>
      <c r="C967" s="385" t="n"/>
      <c r="D967" s="385" t="n"/>
      <c r="E967" s="385" t="n"/>
      <c r="F967" s="520" t="n"/>
      <c r="G967" s="520" t="n"/>
      <c r="H967" s="385" t="n"/>
    </row>
    <row r="968">
      <c r="A968" s="385" t="n"/>
      <c r="B968" s="385" t="n"/>
      <c r="C968" s="385" t="n"/>
      <c r="D968" s="385" t="n"/>
      <c r="E968" s="385" t="n"/>
      <c r="F968" s="520" t="n"/>
      <c r="G968" s="520" t="n"/>
      <c r="H968" s="385" t="n"/>
    </row>
    <row r="969">
      <c r="A969" s="385" t="n"/>
      <c r="B969" s="385" t="n"/>
      <c r="C969" s="385" t="n"/>
      <c r="D969" s="385" t="n"/>
      <c r="E969" s="385" t="n"/>
      <c r="F969" s="520" t="n"/>
      <c r="G969" s="520" t="n"/>
      <c r="H969" s="385" t="n"/>
    </row>
    <row r="970">
      <c r="A970" s="385" t="n"/>
      <c r="B970" s="385" t="n"/>
      <c r="C970" s="385" t="n"/>
      <c r="D970" s="385" t="n"/>
      <c r="E970" s="385" t="n"/>
      <c r="F970" s="520" t="n"/>
      <c r="G970" s="520" t="n"/>
      <c r="H970" s="385" t="n"/>
    </row>
    <row r="971">
      <c r="A971" s="385" t="n"/>
      <c r="B971" s="385" t="n"/>
      <c r="C971" s="385" t="n"/>
      <c r="D971" s="385" t="n"/>
      <c r="E971" s="385" t="n"/>
      <c r="F971" s="520" t="n"/>
      <c r="G971" s="520" t="n"/>
      <c r="H971" s="385" t="n"/>
    </row>
    <row r="972">
      <c r="A972" s="385" t="n"/>
      <c r="B972" s="385" t="n"/>
      <c r="C972" s="385" t="n"/>
      <c r="D972" s="385" t="n"/>
      <c r="E972" s="385" t="n"/>
      <c r="F972" s="520" t="n"/>
      <c r="G972" s="520" t="n"/>
      <c r="H972" s="385" t="n"/>
    </row>
    <row r="973">
      <c r="A973" s="385" t="n"/>
      <c r="B973" s="385" t="n"/>
      <c r="C973" s="385" t="n"/>
      <c r="D973" s="385" t="n"/>
      <c r="E973" s="385" t="n"/>
      <c r="F973" s="520" t="n"/>
      <c r="G973" s="520" t="n"/>
      <c r="H973" s="385" t="n"/>
    </row>
    <row r="974">
      <c r="A974" s="385" t="n"/>
      <c r="B974" s="385" t="n"/>
      <c r="C974" s="385" t="n"/>
      <c r="D974" s="385" t="n"/>
      <c r="E974" s="385" t="n"/>
      <c r="F974" s="520" t="n"/>
      <c r="G974" s="520" t="n"/>
      <c r="H974" s="385" t="n"/>
    </row>
    <row r="975">
      <c r="A975" s="385" t="n"/>
      <c r="B975" s="385" t="n"/>
      <c r="C975" s="385" t="n"/>
      <c r="D975" s="385" t="n"/>
      <c r="E975" s="385" t="n"/>
      <c r="F975" s="520" t="n"/>
      <c r="G975" s="520" t="n"/>
      <c r="H975" s="385" t="n"/>
    </row>
    <row r="976">
      <c r="A976" s="385" t="n"/>
      <c r="B976" s="385" t="n"/>
      <c r="C976" s="385" t="n"/>
      <c r="D976" s="385" t="n"/>
      <c r="E976" s="385" t="n"/>
      <c r="F976" s="520" t="n"/>
      <c r="G976" s="520" t="n"/>
      <c r="H976" s="385" t="n"/>
    </row>
    <row r="977">
      <c r="A977" s="385" t="n"/>
      <c r="B977" s="385" t="n"/>
      <c r="C977" s="385" t="n"/>
      <c r="D977" s="385" t="n"/>
      <c r="E977" s="385" t="n"/>
      <c r="F977" s="520" t="n"/>
      <c r="G977" s="520" t="n"/>
      <c r="H977" s="385" t="n"/>
    </row>
    <row r="978">
      <c r="A978" s="385" t="n"/>
      <c r="B978" s="385" t="n"/>
      <c r="C978" s="385" t="n"/>
      <c r="D978" s="385" t="n"/>
      <c r="E978" s="385" t="n"/>
      <c r="F978" s="520" t="n"/>
      <c r="G978" s="520" t="n"/>
      <c r="H978" s="385" t="n"/>
    </row>
    <row r="979">
      <c r="A979" s="385" t="n"/>
      <c r="B979" s="385" t="n"/>
      <c r="C979" s="385" t="n"/>
      <c r="D979" s="385" t="n"/>
      <c r="E979" s="385" t="n"/>
      <c r="F979" s="520" t="n"/>
      <c r="G979" s="520" t="n"/>
      <c r="H979" s="385" t="n"/>
    </row>
    <row r="980">
      <c r="A980" s="385" t="n"/>
      <c r="B980" s="385" t="n"/>
      <c r="C980" s="385" t="n"/>
      <c r="D980" s="385" t="n"/>
      <c r="E980" s="385" t="n"/>
      <c r="F980" s="520" t="n"/>
      <c r="G980" s="520" t="n"/>
      <c r="H980" s="385" t="n"/>
    </row>
    <row r="981">
      <c r="A981" s="385" t="n"/>
      <c r="B981" s="385" t="n"/>
      <c r="C981" s="385" t="n"/>
      <c r="D981" s="385" t="n"/>
      <c r="E981" s="385" t="n"/>
      <c r="F981" s="520" t="n"/>
      <c r="G981" s="520" t="n"/>
      <c r="H981" s="385" t="n"/>
    </row>
    <row r="982">
      <c r="A982" s="385" t="n"/>
      <c r="B982" s="385" t="n"/>
      <c r="C982" s="385" t="n"/>
      <c r="D982" s="385" t="n"/>
      <c r="E982" s="385" t="n"/>
      <c r="F982" s="520" t="n"/>
      <c r="G982" s="520" t="n"/>
      <c r="H982" s="385" t="n"/>
    </row>
    <row r="983">
      <c r="A983" s="385" t="n"/>
      <c r="B983" s="385" t="n"/>
      <c r="C983" s="385" t="n"/>
      <c r="D983" s="385" t="n"/>
      <c r="E983" s="385" t="n"/>
      <c r="F983" s="520" t="n"/>
      <c r="G983" s="520" t="n"/>
      <c r="H983" s="385" t="n"/>
    </row>
    <row r="984">
      <c r="A984" s="385" t="n"/>
      <c r="B984" s="385" t="n"/>
      <c r="C984" s="385" t="n"/>
      <c r="D984" s="385" t="n"/>
      <c r="E984" s="385" t="n"/>
      <c r="F984" s="520" t="n"/>
      <c r="G984" s="520" t="n"/>
      <c r="H984" s="385" t="n"/>
    </row>
    <row r="985">
      <c r="A985" s="385" t="n"/>
      <c r="B985" s="385" t="n"/>
      <c r="C985" s="385" t="n"/>
      <c r="D985" s="385" t="n"/>
      <c r="E985" s="385" t="n"/>
      <c r="F985" s="520" t="n"/>
      <c r="G985" s="520" t="n"/>
      <c r="H985" s="385" t="n"/>
    </row>
    <row r="986">
      <c r="A986" s="385" t="n"/>
      <c r="B986" s="385" t="n"/>
      <c r="C986" s="385" t="n"/>
      <c r="D986" s="385" t="n"/>
      <c r="E986" s="385" t="n"/>
      <c r="F986" s="520" t="n"/>
      <c r="G986" s="520" t="n"/>
      <c r="H986" s="385" t="n"/>
    </row>
    <row r="987">
      <c r="A987" s="385" t="n"/>
      <c r="B987" s="385" t="n"/>
      <c r="C987" s="385" t="n"/>
      <c r="D987" s="385" t="n"/>
      <c r="E987" s="385" t="n"/>
      <c r="F987" s="520" t="n"/>
      <c r="G987" s="520" t="n"/>
      <c r="H987" s="385" t="n"/>
    </row>
    <row r="988">
      <c r="A988" s="385" t="n"/>
      <c r="B988" s="385" t="n"/>
      <c r="C988" s="385" t="n"/>
      <c r="D988" s="385" t="n"/>
      <c r="E988" s="385" t="n"/>
      <c r="F988" s="520" t="n"/>
      <c r="G988" s="520" t="n"/>
      <c r="H988" s="385" t="n"/>
    </row>
    <row r="989">
      <c r="A989" s="385" t="n"/>
      <c r="B989" s="385" t="n"/>
      <c r="C989" s="385" t="n"/>
      <c r="D989" s="385" t="n"/>
      <c r="E989" s="385" t="n"/>
      <c r="F989" s="520" t="n"/>
      <c r="G989" s="520" t="n"/>
      <c r="H989" s="385" t="n"/>
    </row>
    <row r="990">
      <c r="A990" s="385" t="n"/>
      <c r="B990" s="385" t="n"/>
      <c r="C990" s="385" t="n"/>
      <c r="D990" s="385" t="n"/>
      <c r="E990" s="385" t="n"/>
      <c r="F990" s="520" t="n"/>
      <c r="G990" s="520" t="n"/>
      <c r="H990" s="385" t="n"/>
    </row>
    <row r="991">
      <c r="A991" s="385" t="n"/>
      <c r="B991" s="385" t="n"/>
      <c r="C991" s="385" t="n"/>
      <c r="D991" s="385" t="n"/>
      <c r="E991" s="385" t="n"/>
      <c r="F991" s="520" t="n"/>
      <c r="G991" s="520" t="n"/>
      <c r="H991" s="385" t="n"/>
    </row>
    <row r="992">
      <c r="A992" s="385" t="n"/>
      <c r="B992" s="385" t="n"/>
      <c r="C992" s="385" t="n"/>
      <c r="D992" s="385" t="n"/>
      <c r="E992" s="385" t="n"/>
      <c r="F992" s="520" t="n"/>
      <c r="G992" s="520" t="n"/>
      <c r="H992" s="385" t="n"/>
    </row>
    <row r="993">
      <c r="A993" s="385" t="n"/>
      <c r="B993" s="385" t="n"/>
      <c r="C993" s="385" t="n"/>
      <c r="D993" s="385" t="n"/>
      <c r="E993" s="385" t="n"/>
      <c r="F993" s="520" t="n"/>
      <c r="G993" s="520" t="n"/>
      <c r="H993" s="385" t="n"/>
    </row>
    <row r="994">
      <c r="A994" s="385" t="n"/>
      <c r="B994" s="385" t="n"/>
      <c r="C994" s="385" t="n"/>
      <c r="D994" s="385" t="n"/>
      <c r="E994" s="385" t="n"/>
      <c r="F994" s="520" t="n"/>
      <c r="G994" s="520" t="n"/>
      <c r="H994" s="385" t="n"/>
    </row>
    <row r="995">
      <c r="A995" s="385" t="n"/>
      <c r="B995" s="385" t="n"/>
      <c r="C995" s="385" t="n"/>
      <c r="D995" s="385" t="n"/>
      <c r="E995" s="385" t="n"/>
      <c r="F995" s="520" t="n"/>
      <c r="G995" s="520" t="n"/>
      <c r="H995" s="385" t="n"/>
    </row>
    <row r="996">
      <c r="A996" s="385" t="n"/>
      <c r="B996" s="385" t="n"/>
      <c r="C996" s="385" t="n"/>
      <c r="D996" s="385" t="n"/>
      <c r="E996" s="385" t="n"/>
      <c r="F996" s="520" t="n"/>
      <c r="G996" s="520" t="n"/>
      <c r="H996" s="385" t="n"/>
    </row>
    <row r="997">
      <c r="A997" s="385" t="n"/>
      <c r="B997" s="385" t="n"/>
      <c r="C997" s="385" t="n"/>
      <c r="D997" s="385" t="n"/>
      <c r="E997" s="385" t="n"/>
      <c r="F997" s="520" t="n"/>
      <c r="G997" s="520" t="n"/>
      <c r="H997" s="385" t="n"/>
    </row>
    <row r="998">
      <c r="A998" s="385" t="n"/>
      <c r="B998" s="385" t="n"/>
      <c r="C998" s="385" t="n"/>
      <c r="D998" s="385" t="n"/>
      <c r="E998" s="385" t="n"/>
      <c r="F998" s="520" t="n"/>
      <c r="G998" s="520" t="n"/>
      <c r="H998" s="385" t="n"/>
    </row>
    <row r="999">
      <c r="A999" s="385" t="n"/>
      <c r="B999" s="385" t="n"/>
      <c r="C999" s="385" t="n"/>
      <c r="D999" s="385" t="n"/>
      <c r="E999" s="385" t="n"/>
      <c r="F999" s="520" t="n"/>
      <c r="G999" s="520" t="n"/>
      <c r="H999" s="385" t="n"/>
    </row>
    <row r="1000">
      <c r="A1000" s="385" t="n"/>
      <c r="B1000" s="385" t="n"/>
      <c r="C1000" s="385" t="n"/>
      <c r="D1000" s="385" t="n"/>
      <c r="E1000" s="385" t="n"/>
      <c r="F1000" s="520" t="n"/>
      <c r="G1000" s="520" t="n"/>
      <c r="H1000" s="385" t="n"/>
    </row>
  </sheetData>
  <mergeCells count="1">
    <mergeCell ref="B1:H1"/>
  </mergeCells>
  <pageMargins left="0.75" right="0.75" top="1" bottom="1" header="0.5" footer="0.5"/>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9.xml><?xml version="1.0" encoding="utf-8"?>
<worksheet xmlns="http://schemas.openxmlformats.org/spreadsheetml/2006/main">
  <sheetPr>
    <outlinePr summaryBelow="0" summaryRight="0"/>
    <pageSetUpPr/>
  </sheetPr>
  <dimension ref="A1:C49"/>
  <sheetViews>
    <sheetView workbookViewId="0">
      <selection activeCell="A1" sqref="A1"/>
    </sheetView>
  </sheetViews>
  <sheetFormatPr baseColWidth="8" defaultColWidth="12.63" defaultRowHeight="15.75" customHeight="1"/>
  <sheetData>
    <row r="1">
      <c r="B1" s="453" t="inlineStr">
        <is>
          <t>都道府県名</t>
        </is>
      </c>
    </row>
    <row r="2">
      <c r="A2" s="454" t="inlineStr">
        <is>
          <t>1月</t>
        </is>
      </c>
      <c r="B2" s="454" t="inlineStr">
        <is>
          <t>北海道/1075円</t>
        </is>
      </c>
      <c r="C2" s="348" t="inlineStr">
        <is>
          <t>A、農業林業</t>
        </is>
      </c>
    </row>
    <row r="3">
      <c r="A3" s="454" t="inlineStr">
        <is>
          <t>2月</t>
        </is>
      </c>
      <c r="B3" s="454" t="inlineStr">
        <is>
          <t>青森/1029円</t>
        </is>
      </c>
      <c r="C3" s="348" t="inlineStr">
        <is>
          <t>B、漁業</t>
        </is>
      </c>
    </row>
    <row r="4">
      <c r="A4" s="454" t="inlineStr">
        <is>
          <t>3月</t>
        </is>
      </c>
      <c r="B4" s="454" t="inlineStr">
        <is>
          <t>岩手/1031円</t>
        </is>
      </c>
      <c r="C4" s="348" t="inlineStr">
        <is>
          <t>C、鉱業、採石業、砂利採取業</t>
        </is>
      </c>
    </row>
    <row r="5">
      <c r="A5" s="454" t="inlineStr">
        <is>
          <t>4月</t>
        </is>
      </c>
      <c r="B5" s="454" t="inlineStr">
        <is>
          <t>宮城/1038円</t>
        </is>
      </c>
      <c r="C5" s="348" t="inlineStr">
        <is>
          <t>D、建設業</t>
        </is>
      </c>
    </row>
    <row r="6">
      <c r="A6" s="454" t="inlineStr">
        <is>
          <t>5月</t>
        </is>
      </c>
      <c r="B6" s="454" t="inlineStr">
        <is>
          <t>秋田/1031円</t>
        </is>
      </c>
      <c r="C6" s="348" t="inlineStr">
        <is>
          <t>E、製造業</t>
        </is>
      </c>
    </row>
    <row r="7">
      <c r="A7" s="454" t="inlineStr">
        <is>
          <t>6月</t>
        </is>
      </c>
      <c r="B7" s="454" t="inlineStr">
        <is>
          <t>山形/1032円</t>
        </is>
      </c>
      <c r="C7" s="348" t="inlineStr">
        <is>
          <t>F、電気、ガス、熱供給・水道業</t>
        </is>
      </c>
    </row>
    <row r="8">
      <c r="A8" s="454" t="inlineStr">
        <is>
          <t>7月</t>
        </is>
      </c>
      <c r="B8" s="454" t="inlineStr">
        <is>
          <t>福島/1033円</t>
        </is>
      </c>
      <c r="C8" s="348" t="inlineStr">
        <is>
          <t>G、情報通信業</t>
        </is>
      </c>
    </row>
    <row r="9">
      <c r="A9" s="454" t="inlineStr">
        <is>
          <t>8月</t>
        </is>
      </c>
      <c r="B9" s="454" t="inlineStr">
        <is>
          <t>茨城/1074円</t>
        </is>
      </c>
      <c r="C9" s="348" t="inlineStr">
        <is>
          <t>H、運輸業、郵便業</t>
        </is>
      </c>
    </row>
    <row r="10">
      <c r="A10" s="454" t="inlineStr">
        <is>
          <t>9月</t>
        </is>
      </c>
      <c r="B10" s="454" t="inlineStr">
        <is>
          <t>栃木/1068円</t>
        </is>
      </c>
      <c r="C10" s="348" t="inlineStr">
        <is>
          <t>I、卸売業、小売業</t>
        </is>
      </c>
    </row>
    <row r="11">
      <c r="A11" s="454" t="inlineStr">
        <is>
          <t>10月</t>
        </is>
      </c>
      <c r="B11" s="454" t="inlineStr">
        <is>
          <t>群馬/1063円</t>
        </is>
      </c>
      <c r="C11" s="348" t="inlineStr">
        <is>
          <t>J、金融業、保険業</t>
        </is>
      </c>
    </row>
    <row r="12">
      <c r="A12" s="454" t="inlineStr">
        <is>
          <t>11月</t>
        </is>
      </c>
      <c r="B12" s="454" t="inlineStr">
        <is>
          <t>埼玉/1141円</t>
        </is>
      </c>
      <c r="C12" s="348" t="inlineStr">
        <is>
          <t>K、不動産業、物品賃貸業</t>
        </is>
      </c>
    </row>
    <row r="13">
      <c r="A13" s="454" t="inlineStr">
        <is>
          <t>12月</t>
        </is>
      </c>
      <c r="B13" s="454" t="inlineStr">
        <is>
          <t>千葉/1140円</t>
        </is>
      </c>
      <c r="C13" s="348" t="inlineStr">
        <is>
          <t>L、学術研究、専門・技術サービス業</t>
        </is>
      </c>
    </row>
    <row r="14">
      <c r="B14" s="454" t="inlineStr">
        <is>
          <t>東京/1226円</t>
        </is>
      </c>
      <c r="C14" s="348" t="inlineStr">
        <is>
          <t>M、宿泊業、飲食サービス業</t>
        </is>
      </c>
    </row>
    <row r="15">
      <c r="B15" s="454" t="inlineStr">
        <is>
          <t>神奈川/1225円</t>
        </is>
      </c>
      <c r="C15" s="348" t="inlineStr">
        <is>
          <t>N、生活関連サービス業、娯楽業</t>
        </is>
      </c>
    </row>
    <row r="16">
      <c r="B16" s="454" t="inlineStr">
        <is>
          <t>新潟/1050円</t>
        </is>
      </c>
      <c r="C16" s="348" t="inlineStr">
        <is>
          <t>O、教育、学習支援業</t>
        </is>
      </c>
    </row>
    <row r="17">
      <c r="B17" s="454" t="inlineStr">
        <is>
          <t>富山/1062円</t>
        </is>
      </c>
      <c r="C17" s="348" t="inlineStr">
        <is>
          <t>P、医療 福祉</t>
        </is>
      </c>
    </row>
    <row r="18">
      <c r="B18" s="454" t="inlineStr">
        <is>
          <t>石川/1054円</t>
        </is>
      </c>
      <c r="C18" s="348" t="inlineStr">
        <is>
          <t>Q、複合サービス事業</t>
        </is>
      </c>
    </row>
    <row r="19">
      <c r="B19" s="454" t="inlineStr">
        <is>
          <t>福井/1053円</t>
        </is>
      </c>
      <c r="C19" s="348" t="inlineStr">
        <is>
          <t>R、サービス業（他に分類されないもの）</t>
        </is>
      </c>
    </row>
    <row r="20">
      <c r="B20" s="454" t="inlineStr">
        <is>
          <t>山梨/1052円</t>
        </is>
      </c>
      <c r="C20" s="348" t="inlineStr">
        <is>
          <t>S、公務（他に分類されるものを除く）</t>
        </is>
      </c>
    </row>
    <row r="21">
      <c r="B21" s="454" t="inlineStr">
        <is>
          <t>長野/1061円</t>
        </is>
      </c>
    </row>
    <row r="22">
      <c r="B22" s="454" t="inlineStr">
        <is>
          <t>岐阜/1065円</t>
        </is>
      </c>
    </row>
    <row r="23">
      <c r="B23" s="454" t="inlineStr">
        <is>
          <t>静岡/1097円</t>
        </is>
      </c>
    </row>
    <row r="24">
      <c r="B24" s="454" t="inlineStr">
        <is>
          <t>愛知/1140円</t>
        </is>
      </c>
    </row>
    <row r="25">
      <c r="B25" s="454" t="inlineStr">
        <is>
          <t>三重/1087円</t>
        </is>
      </c>
    </row>
    <row r="26">
      <c r="B26" s="454" t="inlineStr">
        <is>
          <t>滋賀/1080円</t>
        </is>
      </c>
    </row>
    <row r="27">
      <c r="B27" s="454" t="inlineStr">
        <is>
          <t>京都/1122円</t>
        </is>
      </c>
    </row>
    <row r="28">
      <c r="B28" s="454" t="inlineStr">
        <is>
          <t>大阪/1177円</t>
        </is>
      </c>
    </row>
    <row r="29">
      <c r="B29" s="454" t="inlineStr">
        <is>
          <t>兵庫/1116円</t>
        </is>
      </c>
    </row>
    <row r="30">
      <c r="B30" s="454" t="inlineStr">
        <is>
          <t>奈良/1051円</t>
        </is>
      </c>
    </row>
    <row r="31">
      <c r="B31" s="454" t="inlineStr">
        <is>
          <t>和歌山/1045円</t>
        </is>
      </c>
    </row>
    <row r="32">
      <c r="B32" s="454" t="inlineStr">
        <is>
          <t>鳥取/1030円</t>
        </is>
      </c>
    </row>
    <row r="33">
      <c r="B33" s="454" t="inlineStr">
        <is>
          <t>島根/1033円</t>
        </is>
      </c>
    </row>
    <row r="34">
      <c r="B34" s="454" t="inlineStr">
        <is>
          <t>岡山/1047円</t>
        </is>
      </c>
    </row>
    <row r="35">
      <c r="B35" s="454" t="inlineStr">
        <is>
          <t>広島/1085円</t>
        </is>
      </c>
    </row>
    <row r="36">
      <c r="B36" s="454" t="inlineStr">
        <is>
          <t>山口/1043円</t>
        </is>
      </c>
    </row>
    <row r="37">
      <c r="B37" s="454" t="inlineStr">
        <is>
          <t>徳島/1046円</t>
        </is>
      </c>
    </row>
    <row r="38">
      <c r="B38" s="454" t="inlineStr">
        <is>
          <t>香川/1036円</t>
        </is>
      </c>
    </row>
    <row r="39">
      <c r="B39" s="454" t="inlineStr">
        <is>
          <t>愛媛/1033円</t>
        </is>
      </c>
    </row>
    <row r="40">
      <c r="B40" s="454" t="inlineStr">
        <is>
          <t>高知/1023円</t>
        </is>
      </c>
    </row>
    <row r="41">
      <c r="B41" s="454" t="inlineStr">
        <is>
          <t>福岡/1057円</t>
        </is>
      </c>
    </row>
    <row r="42">
      <c r="B42" s="454" t="inlineStr">
        <is>
          <t>佐賀/1030円</t>
        </is>
      </c>
    </row>
    <row r="43">
      <c r="B43" s="454" t="inlineStr">
        <is>
          <t>長崎/1031円</t>
        </is>
      </c>
    </row>
    <row r="44">
      <c r="B44" s="454" t="inlineStr">
        <is>
          <t>熊本/1034円</t>
        </is>
      </c>
    </row>
    <row r="45">
      <c r="B45" s="454" t="inlineStr">
        <is>
          <t>大分/1035円</t>
        </is>
      </c>
    </row>
    <row r="46">
      <c r="B46" s="454" t="inlineStr">
        <is>
          <t>宮崎/1023円</t>
        </is>
      </c>
    </row>
    <row r="47">
      <c r="B47" s="454" t="inlineStr">
        <is>
          <t>鹿児島/1026円</t>
        </is>
      </c>
    </row>
    <row r="48">
      <c r="B48" s="454" t="inlineStr">
        <is>
          <t>沖縄/1023円</t>
        </is>
      </c>
    </row>
    <row r="49">
      <c r="B49" s="455" t="n"/>
    </row>
  </sheetData>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Z1010"/>
  <sheetViews>
    <sheetView showGridLines="0" workbookViewId="0">
      <selection activeCell="A1" sqref="A1"/>
    </sheetView>
  </sheetViews>
  <sheetFormatPr baseColWidth="8" defaultColWidth="12.63" defaultRowHeight="15.75" customHeight="1" outlineLevelRow="1"/>
  <cols>
    <col width="3.25" customWidth="1" style="477" min="1" max="1"/>
    <col width="31.13" customWidth="1" style="477" min="2" max="2"/>
    <col width="40.88" customWidth="1" style="477" min="3" max="3"/>
    <col width="3.75" customWidth="1" style="477" min="4" max="4"/>
    <col width="65.75" customWidth="1" style="477" min="5" max="5"/>
    <col width="3.88" customWidth="1" style="477" min="6" max="6"/>
  </cols>
  <sheetData>
    <row r="1" ht="12" customHeight="1" s="477">
      <c r="A1" s="69" t="n"/>
      <c r="B1" s="72" t="n"/>
      <c r="C1" s="73" t="n"/>
      <c r="D1" s="69" t="n"/>
      <c r="E1" s="69" t="n"/>
      <c r="F1" s="69" t="n"/>
    </row>
    <row r="2" outlineLevel="1" s="477">
      <c r="A2" s="69" t="n"/>
      <c r="B2" s="72" t="n"/>
      <c r="C2" s="73" t="n"/>
      <c r="D2" s="69" t="n"/>
      <c r="E2" s="69" t="n"/>
      <c r="F2" s="69" t="n"/>
    </row>
    <row r="3" outlineLevel="1" s="477">
      <c r="A3" s="94" t="n"/>
      <c r="B3" s="484" t="inlineStr">
        <is>
          <t>申請時添付資料</t>
        </is>
      </c>
      <c r="C3" s="479" t="n"/>
      <c r="D3" s="479" t="n"/>
      <c r="E3" s="485" t="n"/>
      <c r="F3" s="94" t="n"/>
      <c r="G3" s="94" t="n"/>
      <c r="H3" s="169" t="n"/>
      <c r="I3" s="169" t="n"/>
      <c r="J3" s="169" t="n"/>
      <c r="K3" s="169" t="n"/>
      <c r="L3" s="169" t="n"/>
      <c r="M3" s="169" t="n"/>
      <c r="N3" s="169" t="n"/>
      <c r="O3" s="169" t="n"/>
      <c r="P3" s="169" t="n"/>
      <c r="Q3" s="169" t="n"/>
      <c r="R3" s="169" t="n"/>
      <c r="S3" s="169" t="n"/>
      <c r="T3" s="169" t="n"/>
      <c r="U3" s="169" t="n"/>
      <c r="V3" s="169" t="n"/>
      <c r="W3" s="169" t="n"/>
      <c r="X3" s="169" t="n"/>
      <c r="Y3" s="169" t="n"/>
      <c r="Z3" s="169" t="n"/>
    </row>
    <row r="4" outlineLevel="1" s="477">
      <c r="A4" s="94" t="n"/>
      <c r="B4" s="83" t="b">
        <v>0</v>
      </c>
      <c r="C4" s="101" t="inlineStr">
        <is>
          <t>請求書</t>
        </is>
      </c>
      <c r="D4" s="87" t="n"/>
      <c r="E4" s="87" t="inlineStr">
        <is>
          <t>・契約年数が記載されている
・ITツールの「単価」とシステムの入力値が一致する</t>
        </is>
      </c>
      <c r="F4" s="94" t="n"/>
      <c r="G4" s="94" t="n"/>
      <c r="H4" s="169" t="n"/>
      <c r="I4" s="169" t="n"/>
      <c r="J4" s="169" t="n"/>
      <c r="K4" s="169" t="n"/>
      <c r="L4" s="169" t="n"/>
      <c r="M4" s="169" t="n"/>
      <c r="N4" s="169" t="n"/>
      <c r="O4" s="169" t="n"/>
      <c r="P4" s="169" t="n"/>
      <c r="Q4" s="169" t="n"/>
      <c r="R4" s="169" t="n"/>
      <c r="S4" s="169" t="n"/>
      <c r="T4" s="169" t="n"/>
      <c r="U4" s="169" t="n"/>
      <c r="V4" s="169" t="n"/>
      <c r="W4" s="169" t="n"/>
      <c r="X4" s="169" t="n"/>
      <c r="Y4" s="169" t="n"/>
      <c r="Z4" s="169" t="n"/>
    </row>
    <row r="5" outlineLevel="1" s="477">
      <c r="A5" s="94" t="n"/>
      <c r="B5" s="83" t="b">
        <v>0</v>
      </c>
      <c r="C5" s="101" t="inlineStr">
        <is>
          <t>支払証憑</t>
        </is>
      </c>
      <c r="D5" s="87" t="n"/>
      <c r="E5" s="87" t="inlineStr">
        <is>
          <t>・支払いが完了したことを確認できる
・支払金額」「支払日」「支払元」</t>
        </is>
      </c>
      <c r="F5" s="94" t="n"/>
      <c r="G5" s="94" t="n"/>
      <c r="H5" s="169" t="n"/>
      <c r="I5" s="169" t="n"/>
      <c r="J5" s="169" t="n"/>
      <c r="K5" s="169" t="n"/>
      <c r="L5" s="169" t="n"/>
      <c r="M5" s="169" t="n"/>
      <c r="N5" s="169" t="n"/>
      <c r="O5" s="169" t="n"/>
      <c r="P5" s="169" t="n"/>
      <c r="Q5" s="169" t="n"/>
      <c r="R5" s="169" t="n"/>
      <c r="S5" s="169" t="n"/>
      <c r="T5" s="169" t="n"/>
      <c r="U5" s="169" t="n"/>
      <c r="V5" s="169" t="n"/>
      <c r="W5" s="169" t="n"/>
      <c r="X5" s="169" t="n"/>
      <c r="Y5" s="169" t="n"/>
      <c r="Z5" s="169" t="n"/>
    </row>
    <row r="6" outlineLevel="1" s="477">
      <c r="A6" s="94" t="n"/>
      <c r="B6" s="83" t="b">
        <v>0</v>
      </c>
      <c r="C6" s="101" t="inlineStr">
        <is>
          <t>画面キャプチャ</t>
        </is>
      </c>
      <c r="D6" s="88" t="n"/>
      <c r="E6" s="88" t="n"/>
      <c r="F6" s="94" t="n"/>
      <c r="G6" s="94" t="n"/>
      <c r="H6" s="169" t="n"/>
      <c r="I6" s="169" t="n"/>
      <c r="J6" s="169" t="n"/>
      <c r="K6" s="169" t="n"/>
      <c r="L6" s="169" t="n"/>
      <c r="M6" s="169" t="n"/>
      <c r="N6" s="169" t="n"/>
      <c r="O6" s="169" t="n"/>
      <c r="P6" s="169" t="n"/>
      <c r="Q6" s="169" t="n"/>
      <c r="R6" s="169" t="n"/>
      <c r="S6" s="169" t="n"/>
      <c r="T6" s="169" t="n"/>
      <c r="U6" s="169" t="n"/>
      <c r="V6" s="169" t="n"/>
      <c r="W6" s="169" t="n"/>
      <c r="X6" s="169" t="n"/>
      <c r="Y6" s="169" t="n"/>
      <c r="Z6" s="169" t="n"/>
    </row>
    <row r="7" outlineLevel="1" s="477">
      <c r="A7" s="94" t="n"/>
      <c r="B7" s="83" t="b">
        <v>0</v>
      </c>
      <c r="C7" s="101" t="inlineStr">
        <is>
          <t>補助金受取口座</t>
        </is>
      </c>
      <c r="D7" s="88" t="n"/>
      <c r="E7" s="88" t="n"/>
      <c r="F7" s="94" t="n"/>
      <c r="G7" s="94" t="n"/>
      <c r="H7" s="169" t="n"/>
      <c r="I7" s="169" t="n"/>
      <c r="J7" s="169" t="n"/>
      <c r="K7" s="169" t="n"/>
      <c r="L7" s="169" t="n"/>
      <c r="M7" s="169" t="n"/>
      <c r="N7" s="169" t="n"/>
      <c r="O7" s="169" t="n"/>
      <c r="P7" s="169" t="n"/>
      <c r="Q7" s="169" t="n"/>
      <c r="R7" s="169" t="n"/>
      <c r="S7" s="169" t="n"/>
      <c r="T7" s="169" t="n"/>
      <c r="U7" s="169" t="n"/>
      <c r="V7" s="169" t="n"/>
      <c r="W7" s="169" t="n"/>
      <c r="X7" s="169" t="n"/>
      <c r="Y7" s="169" t="n"/>
      <c r="Z7" s="169" t="n"/>
    </row>
    <row r="8" outlineLevel="1" s="477">
      <c r="A8" s="94" t="n"/>
      <c r="B8" s="83" t="b">
        <v>0</v>
      </c>
      <c r="C8" s="101" t="inlineStr">
        <is>
          <t>従業員一覧（小規模事業者のみ）</t>
        </is>
      </c>
      <c r="D8" s="88" t="n"/>
      <c r="E8" s="88" t="inlineStr">
        <is>
          <t>・申請時の従業員数から変更がないか確認</t>
        </is>
      </c>
      <c r="F8" s="94" t="n"/>
      <c r="G8" s="94" t="n"/>
      <c r="H8" s="169" t="n"/>
      <c r="I8" s="169" t="n"/>
      <c r="J8" s="169" t="n"/>
      <c r="K8" s="169" t="n"/>
      <c r="L8" s="169" t="n"/>
      <c r="M8" s="169" t="n"/>
      <c r="N8" s="169" t="n"/>
      <c r="O8" s="169" t="n"/>
      <c r="P8" s="169" t="n"/>
      <c r="Q8" s="169" t="n"/>
      <c r="R8" s="169" t="n"/>
      <c r="S8" s="169" t="n"/>
      <c r="T8" s="169" t="n"/>
      <c r="U8" s="169" t="n"/>
      <c r="V8" s="169" t="n"/>
      <c r="W8" s="169" t="n"/>
      <c r="X8" s="169" t="n"/>
      <c r="Y8" s="169" t="n"/>
      <c r="Z8" s="169" t="n"/>
    </row>
    <row r="9" outlineLevel="1" s="477">
      <c r="A9" s="94" t="n"/>
      <c r="B9" s="459" t="b">
        <v>0</v>
      </c>
      <c r="C9" s="101" t="inlineStr">
        <is>
          <t>その他資料
・差額分の請求書など</t>
        </is>
      </c>
      <c r="D9" s="88" t="n"/>
      <c r="E9" s="88" t="n"/>
      <c r="F9" s="94" t="n"/>
      <c r="G9" s="94" t="n"/>
      <c r="H9" s="169" t="n"/>
      <c r="I9" s="169" t="n"/>
      <c r="J9" s="169" t="n"/>
      <c r="K9" s="169" t="n"/>
      <c r="L9" s="169" t="n"/>
      <c r="M9" s="169" t="n"/>
      <c r="N9" s="169" t="n"/>
      <c r="O9" s="169" t="n"/>
      <c r="P9" s="169" t="n"/>
      <c r="Q9" s="169" t="n"/>
      <c r="R9" s="169" t="n"/>
      <c r="S9" s="169" t="n"/>
      <c r="T9" s="169" t="n"/>
      <c r="U9" s="169" t="n"/>
      <c r="V9" s="169" t="n"/>
      <c r="W9" s="169" t="n"/>
      <c r="X9" s="169" t="n"/>
      <c r="Y9" s="169" t="n"/>
      <c r="Z9" s="169" t="n"/>
    </row>
    <row r="10" outlineLevel="1" s="477">
      <c r="A10" s="94" t="n"/>
      <c r="B10" s="459" t="b">
        <v>0</v>
      </c>
      <c r="C10" s="101" t="inlineStr">
        <is>
          <t>役務資料</t>
        </is>
      </c>
      <c r="D10" s="88" t="n"/>
      <c r="E10" s="88" t="n"/>
      <c r="F10" s="94" t="n"/>
      <c r="G10" s="94" t="n"/>
      <c r="H10" s="169" t="n"/>
      <c r="I10" s="169" t="n"/>
      <c r="J10" s="169" t="n"/>
      <c r="K10" s="169" t="n"/>
      <c r="L10" s="169" t="n"/>
      <c r="M10" s="169" t="n"/>
      <c r="N10" s="169" t="n"/>
      <c r="O10" s="169" t="n"/>
      <c r="P10" s="169" t="n"/>
      <c r="Q10" s="169" t="n"/>
      <c r="R10" s="169" t="n"/>
      <c r="S10" s="169" t="n"/>
      <c r="T10" s="169" t="n"/>
      <c r="U10" s="169" t="n"/>
      <c r="V10" s="169" t="n"/>
      <c r="W10" s="169" t="n"/>
      <c r="X10" s="169" t="n"/>
      <c r="Y10" s="169" t="n"/>
      <c r="Z10" s="169" t="n"/>
    </row>
    <row r="11" outlineLevel="1" s="477">
      <c r="A11" s="69" t="n"/>
      <c r="B11" s="124" t="n"/>
      <c r="C11" s="113" t="n"/>
      <c r="D11" s="114" t="n"/>
      <c r="E11" s="114" t="n"/>
      <c r="F11" s="69" t="n"/>
      <c r="G11" s="462" t="n"/>
      <c r="H11" s="462" t="n"/>
      <c r="I11" s="462" t="n"/>
      <c r="J11" s="462" t="n"/>
      <c r="K11" s="462" t="n"/>
      <c r="L11" s="462" t="n"/>
      <c r="M11" s="462" t="n"/>
      <c r="N11" s="462" t="n"/>
      <c r="O11" s="462" t="n"/>
      <c r="P11" s="462" t="n"/>
      <c r="Q11" s="462" t="n"/>
      <c r="R11" s="462" t="n"/>
      <c r="S11" s="462" t="n"/>
      <c r="T11" s="462" t="n"/>
      <c r="U11" s="462" t="n"/>
      <c r="V11" s="462" t="n"/>
      <c r="W11" s="462" t="n"/>
      <c r="X11" s="462" t="n"/>
      <c r="Y11" s="462" t="n"/>
      <c r="Z11" s="462" t="n"/>
    </row>
    <row r="12">
      <c r="A12" s="69" t="n"/>
      <c r="B12" s="72" t="n"/>
      <c r="C12" s="73" t="n"/>
      <c r="D12" s="69" t="n"/>
      <c r="E12" s="69" t="n"/>
      <c r="F12" s="69" t="n"/>
      <c r="G12" s="462" t="n"/>
      <c r="H12" s="462" t="n"/>
      <c r="I12" s="462" t="n"/>
      <c r="J12" s="462" t="n"/>
      <c r="K12" s="462" t="n"/>
      <c r="L12" s="462" t="n"/>
      <c r="M12" s="462" t="n"/>
      <c r="N12" s="462" t="n"/>
      <c r="O12" s="462" t="n"/>
      <c r="P12" s="462" t="n"/>
      <c r="Q12" s="462" t="n"/>
      <c r="R12" s="462" t="n"/>
      <c r="S12" s="462" t="n"/>
      <c r="T12" s="462" t="n"/>
      <c r="U12" s="462" t="n"/>
      <c r="V12" s="462" t="n"/>
      <c r="W12" s="462" t="n"/>
      <c r="X12" s="462" t="n"/>
      <c r="Y12" s="462" t="n"/>
      <c r="Z12" s="462" t="n"/>
    </row>
    <row r="13">
      <c r="A13" s="69" t="n"/>
      <c r="B13" s="72" t="inlineStr">
        <is>
          <t>申請マイページにログイン</t>
        </is>
      </c>
      <c r="C13" s="73" t="n"/>
      <c r="D13" s="69" t="n"/>
      <c r="E13" s="69" t="n"/>
      <c r="F13" s="69" t="n"/>
      <c r="G13" s="462" t="n"/>
      <c r="H13" s="462" t="n"/>
      <c r="I13" s="462" t="n"/>
      <c r="J13" s="462" t="n"/>
      <c r="K13" s="462" t="n"/>
      <c r="L13" s="462" t="n"/>
      <c r="M13" s="462" t="n"/>
      <c r="N13" s="462" t="n"/>
      <c r="O13" s="462" t="n"/>
      <c r="P13" s="462" t="n"/>
      <c r="Q13" s="462" t="n"/>
      <c r="R13" s="462" t="n"/>
      <c r="S13" s="462" t="n"/>
      <c r="T13" s="462" t="n"/>
      <c r="U13" s="462" t="n"/>
      <c r="V13" s="462" t="n"/>
      <c r="W13" s="462" t="n"/>
      <c r="X13" s="462" t="n"/>
      <c r="Y13" s="462" t="n"/>
      <c r="Z13" s="462" t="n"/>
    </row>
    <row r="14">
      <c r="A14" s="69" t="n"/>
      <c r="B14" s="72" t="inlineStr">
        <is>
          <t>「申請者メニュー」の 【実績報告情報編集】をクリック</t>
        </is>
      </c>
      <c r="C14" s="73" t="n"/>
      <c r="D14" s="69" t="n"/>
      <c r="E14" s="69" t="n"/>
      <c r="F14" s="69" t="n"/>
      <c r="G14" s="462" t="n"/>
      <c r="H14" s="462" t="n"/>
      <c r="I14" s="462" t="n"/>
      <c r="J14" s="462" t="n"/>
      <c r="K14" s="462" t="n"/>
      <c r="L14" s="462" t="n"/>
      <c r="M14" s="462" t="n"/>
      <c r="N14" s="462" t="n"/>
      <c r="O14" s="462" t="n"/>
      <c r="P14" s="462" t="n"/>
      <c r="Q14" s="462" t="n"/>
      <c r="R14" s="462" t="n"/>
      <c r="S14" s="462" t="n"/>
      <c r="T14" s="462" t="n"/>
      <c r="U14" s="462" t="n"/>
      <c r="V14" s="462" t="n"/>
      <c r="W14" s="462" t="n"/>
      <c r="X14" s="462" t="n"/>
      <c r="Y14" s="462" t="n"/>
      <c r="Z14" s="462" t="n"/>
    </row>
    <row r="15">
      <c r="A15" s="69" t="n"/>
      <c r="B15" s="72" t="inlineStr">
        <is>
          <t>「ITツールの解約」に関する説明動画を確認し、【次へ】を</t>
        </is>
      </c>
      <c r="C15" s="73" t="n"/>
      <c r="D15" s="69" t="n"/>
      <c r="E15" s="69" t="n"/>
      <c r="F15" s="69" t="n"/>
      <c r="G15" s="462" t="n"/>
      <c r="H15" s="462" t="n"/>
      <c r="I15" s="462" t="n"/>
      <c r="J15" s="462" t="n"/>
      <c r="K15" s="462" t="n"/>
      <c r="L15" s="462" t="n"/>
      <c r="M15" s="462" t="n"/>
      <c r="N15" s="462" t="n"/>
      <c r="O15" s="462" t="n"/>
      <c r="P15" s="462" t="n"/>
      <c r="Q15" s="462" t="n"/>
      <c r="R15" s="462" t="n"/>
      <c r="S15" s="462" t="n"/>
      <c r="T15" s="462" t="n"/>
      <c r="U15" s="462" t="n"/>
      <c r="V15" s="462" t="n"/>
      <c r="W15" s="462" t="n"/>
      <c r="X15" s="462" t="n"/>
      <c r="Y15" s="462" t="n"/>
      <c r="Z15" s="462" t="n"/>
    </row>
    <row r="16">
      <c r="A16" s="69" t="n"/>
      <c r="B16" s="72" t="n"/>
      <c r="C16" s="73" t="n"/>
      <c r="D16" s="69" t="n"/>
      <c r="E16" s="69" t="n"/>
      <c r="F16" s="69" t="n"/>
      <c r="G16" s="462" t="n"/>
      <c r="H16" s="462" t="n"/>
      <c r="I16" s="462" t="n"/>
      <c r="J16" s="462" t="n"/>
      <c r="K16" s="462" t="n"/>
      <c r="L16" s="462" t="n"/>
      <c r="M16" s="462" t="n"/>
      <c r="N16" s="462" t="n"/>
      <c r="O16" s="462" t="n"/>
      <c r="P16" s="462" t="n"/>
      <c r="Q16" s="462" t="n"/>
      <c r="R16" s="462" t="n"/>
      <c r="S16" s="462" t="n"/>
      <c r="T16" s="462" t="n"/>
      <c r="U16" s="462" t="n"/>
      <c r="V16" s="462" t="n"/>
      <c r="W16" s="462" t="n"/>
      <c r="X16" s="462" t="n"/>
      <c r="Y16" s="462" t="n"/>
      <c r="Z16" s="462" t="n"/>
    </row>
    <row r="17">
      <c r="A17" s="69" t="n"/>
      <c r="B17" s="72" t="n"/>
      <c r="C17" s="73" t="n"/>
      <c r="D17" s="69" t="n"/>
      <c r="E17" s="69" t="n"/>
      <c r="F17" s="69" t="n"/>
      <c r="G17" s="462" t="n"/>
      <c r="H17" s="462" t="n"/>
      <c r="I17" s="462" t="n"/>
      <c r="J17" s="462" t="n"/>
      <c r="K17" s="462" t="n"/>
      <c r="L17" s="462" t="n"/>
      <c r="M17" s="462" t="n"/>
      <c r="N17" s="462" t="n"/>
      <c r="O17" s="462" t="n"/>
      <c r="P17" s="462" t="n"/>
      <c r="Q17" s="462" t="n"/>
      <c r="R17" s="462" t="n"/>
      <c r="S17" s="462" t="n"/>
      <c r="T17" s="462" t="n"/>
      <c r="U17" s="462" t="n"/>
      <c r="V17" s="462" t="n"/>
      <c r="W17" s="462" t="n"/>
      <c r="X17" s="462" t="n"/>
      <c r="Y17" s="462" t="n"/>
      <c r="Z17" s="462" t="n"/>
    </row>
    <row r="18">
      <c r="A18" s="69" t="n"/>
      <c r="B18" s="497" t="inlineStr">
        <is>
          <t>請求明細書</t>
        </is>
      </c>
      <c r="F18" s="69" t="n"/>
      <c r="G18" s="462" t="n"/>
      <c r="H18" s="462" t="n"/>
      <c r="I18" s="462" t="n"/>
      <c r="J18" s="462" t="n"/>
      <c r="K18" s="462" t="n"/>
      <c r="L18" s="462" t="n"/>
      <c r="M18" s="462" t="n"/>
      <c r="N18" s="462" t="n"/>
      <c r="O18" s="462" t="n"/>
      <c r="P18" s="462" t="n"/>
      <c r="Q18" s="462" t="n"/>
      <c r="R18" s="462" t="n"/>
      <c r="S18" s="462" t="n"/>
      <c r="T18" s="462" t="n"/>
      <c r="U18" s="462" t="n"/>
      <c r="V18" s="462" t="n"/>
      <c r="W18" s="462" t="n"/>
      <c r="X18" s="462" t="n"/>
      <c r="Y18" s="462" t="n"/>
      <c r="Z18" s="462" t="n"/>
    </row>
    <row r="19" ht="6" customHeight="1" s="477">
      <c r="A19" s="69" t="n"/>
      <c r="B19" s="72" t="n"/>
      <c r="C19" s="73" t="n"/>
      <c r="D19" s="69" t="n"/>
      <c r="E19" s="69" t="n"/>
      <c r="F19" s="69" t="n"/>
      <c r="G19" s="462" t="n"/>
      <c r="H19" s="462" t="n"/>
      <c r="I19" s="462" t="n"/>
      <c r="J19" s="462" t="n"/>
      <c r="K19" s="462" t="n"/>
      <c r="L19" s="462" t="n"/>
      <c r="M19" s="462" t="n"/>
      <c r="N19" s="462" t="n"/>
      <c r="O19" s="462" t="n"/>
      <c r="P19" s="462" t="n"/>
      <c r="Q19" s="462" t="n"/>
      <c r="R19" s="462" t="n"/>
      <c r="S19" s="462" t="n"/>
      <c r="T19" s="462" t="n"/>
      <c r="U19" s="462" t="n"/>
      <c r="V19" s="462" t="n"/>
      <c r="W19" s="462" t="n"/>
      <c r="X19" s="462" t="n"/>
      <c r="Y19" s="462" t="n"/>
      <c r="Z19" s="462" t="n"/>
    </row>
    <row r="20" ht="22.5" customHeight="1" s="477">
      <c r="A20" s="221" t="n"/>
      <c r="B20" s="222" t="inlineStr">
        <is>
          <t>ファイル添付</t>
        </is>
      </c>
      <c r="C20" s="253" t="n"/>
      <c r="F20" s="140" t="n"/>
      <c r="G20" s="140" t="n"/>
      <c r="H20" s="462" t="n"/>
      <c r="I20" s="462" t="n"/>
      <c r="J20" s="462" t="n"/>
      <c r="K20" s="462" t="n"/>
      <c r="L20" s="462" t="n"/>
      <c r="M20" s="462" t="n"/>
      <c r="N20" s="462" t="n"/>
      <c r="O20" s="462" t="n"/>
      <c r="P20" s="462" t="n"/>
      <c r="Q20" s="462" t="n"/>
      <c r="R20" s="462" t="n"/>
      <c r="S20" s="462" t="n"/>
      <c r="T20" s="462" t="n"/>
      <c r="U20" s="462" t="n"/>
      <c r="V20" s="462" t="n"/>
      <c r="W20" s="462" t="n"/>
      <c r="X20" s="462" t="n"/>
      <c r="Y20" s="462" t="n"/>
      <c r="Z20" s="462" t="n"/>
    </row>
    <row r="21" outlineLevel="1" s="477">
      <c r="A21" s="69" t="n"/>
      <c r="B21" s="72" t="n"/>
      <c r="C21" s="472" t="n"/>
      <c r="D21" s="457" t="inlineStr">
        <is>
          <t>チェック項目</t>
        </is>
      </c>
      <c r="E21" s="458" t="n"/>
      <c r="F21" s="140" t="n"/>
      <c r="G21" s="462" t="n"/>
      <c r="H21" s="462" t="n"/>
      <c r="I21" s="462" t="n"/>
      <c r="J21" s="462" t="n"/>
      <c r="K21" s="462" t="n"/>
      <c r="L21" s="462" t="n"/>
      <c r="M21" s="462" t="n"/>
      <c r="N21" s="462" t="n"/>
      <c r="O21" s="462" t="n"/>
      <c r="P21" s="462" t="n"/>
      <c r="Q21" s="462" t="n"/>
      <c r="R21" s="462" t="n"/>
      <c r="S21" s="462" t="n"/>
      <c r="T21" s="462" t="n"/>
      <c r="U21" s="462" t="n"/>
      <c r="V21" s="462" t="n"/>
      <c r="W21" s="462" t="n"/>
      <c r="X21" s="462" t="n"/>
      <c r="Y21" s="462" t="n"/>
      <c r="Z21" s="462" t="n"/>
    </row>
    <row r="22" outlineLevel="1" s="477">
      <c r="A22" s="69" t="n"/>
      <c r="B22" s="72" t="n"/>
      <c r="C22" s="472" t="n"/>
      <c r="D22" s="459" t="b">
        <v>1</v>
      </c>
      <c r="E22" s="460" t="inlineStr">
        <is>
          <t>補助事業社名に誤りがない</t>
        </is>
      </c>
      <c r="F22" s="140" t="n"/>
      <c r="G22" s="462" t="n"/>
      <c r="H22" s="462" t="n"/>
      <c r="I22" s="462" t="n"/>
      <c r="J22" s="462" t="n"/>
      <c r="K22" s="462" t="n"/>
      <c r="L22" s="462" t="n"/>
      <c r="M22" s="462" t="n"/>
      <c r="N22" s="462" t="n"/>
      <c r="O22" s="462" t="n"/>
      <c r="P22" s="462" t="n"/>
      <c r="Q22" s="462" t="n"/>
      <c r="R22" s="462" t="n"/>
      <c r="S22" s="462" t="n"/>
      <c r="T22" s="462" t="n"/>
      <c r="U22" s="462" t="n"/>
      <c r="V22" s="462" t="n"/>
      <c r="W22" s="462" t="n"/>
      <c r="X22" s="462" t="n"/>
      <c r="Y22" s="462" t="n"/>
      <c r="Z22" s="462" t="n"/>
    </row>
    <row r="23" outlineLevel="1" s="477">
      <c r="A23" s="69" t="n"/>
      <c r="B23" s="72" t="n"/>
      <c r="C23" s="472" t="n"/>
      <c r="D23" s="459" t="b">
        <v>0</v>
      </c>
      <c r="E23" s="460" t="inlineStr">
        <is>
          <t>契約年数が記載されている</t>
        </is>
      </c>
      <c r="F23" s="140" t="n"/>
      <c r="G23" s="462" t="n"/>
      <c r="H23" s="462" t="n"/>
      <c r="I23" s="462" t="n"/>
      <c r="J23" s="462" t="n"/>
      <c r="K23" s="462" t="n"/>
      <c r="L23" s="462" t="n"/>
      <c r="M23" s="462" t="n"/>
      <c r="N23" s="462" t="n"/>
      <c r="O23" s="462" t="n"/>
      <c r="P23" s="462" t="n"/>
      <c r="Q23" s="462" t="n"/>
      <c r="R23" s="462" t="n"/>
      <c r="S23" s="462" t="n"/>
      <c r="T23" s="462" t="n"/>
      <c r="U23" s="462" t="n"/>
      <c r="V23" s="462" t="n"/>
      <c r="W23" s="462" t="n"/>
      <c r="X23" s="462" t="n"/>
      <c r="Y23" s="462" t="n"/>
      <c r="Z23" s="462" t="n"/>
    </row>
    <row r="24" outlineLevel="1" s="477">
      <c r="A24" s="69" t="n"/>
      <c r="B24" s="72" t="n"/>
      <c r="C24" s="472" t="n"/>
      <c r="D24" s="459" t="b">
        <v>0</v>
      </c>
      <c r="E24" s="460" t="inlineStr">
        <is>
          <t>ITツールの「単価」とシステムの入力値が一致する</t>
        </is>
      </c>
      <c r="F24" s="140" t="n"/>
      <c r="G24" s="462" t="n"/>
      <c r="H24" s="462" t="n"/>
      <c r="I24" s="462" t="n"/>
      <c r="J24" s="462" t="n"/>
      <c r="K24" s="462" t="n"/>
      <c r="L24" s="462" t="n"/>
      <c r="M24" s="462" t="n"/>
      <c r="N24" s="462" t="n"/>
      <c r="O24" s="462" t="n"/>
      <c r="P24" s="462" t="n"/>
      <c r="Q24" s="462" t="n"/>
      <c r="R24" s="462" t="n"/>
      <c r="S24" s="462" t="n"/>
      <c r="T24" s="462" t="n"/>
      <c r="U24" s="462" t="n"/>
      <c r="V24" s="462" t="n"/>
      <c r="W24" s="462" t="n"/>
      <c r="X24" s="462" t="n"/>
      <c r="Y24" s="462" t="n"/>
      <c r="Z24" s="462" t="n"/>
    </row>
    <row r="25" outlineLevel="1" s="477">
      <c r="A25" s="69" t="n"/>
      <c r="B25" s="72" t="n"/>
      <c r="C25" s="472" t="n"/>
      <c r="D25" s="459" t="b">
        <v>0</v>
      </c>
      <c r="E25" s="460" t="n"/>
      <c r="F25" s="140" t="n"/>
      <c r="G25" s="462" t="n"/>
      <c r="H25" s="462" t="n"/>
      <c r="I25" s="462" t="n"/>
      <c r="J25" s="462" t="n"/>
      <c r="K25" s="462" t="n"/>
      <c r="L25" s="462" t="n"/>
      <c r="M25" s="462" t="n"/>
      <c r="N25" s="462" t="n"/>
      <c r="O25" s="462" t="n"/>
      <c r="P25" s="462" t="n"/>
      <c r="Q25" s="462" t="n"/>
      <c r="R25" s="462" t="n"/>
      <c r="S25" s="462" t="n"/>
      <c r="T25" s="462" t="n"/>
      <c r="U25" s="462" t="n"/>
      <c r="V25" s="462" t="n"/>
      <c r="W25" s="462" t="n"/>
      <c r="X25" s="462" t="n"/>
      <c r="Y25" s="462" t="n"/>
      <c r="Z25" s="462" t="n"/>
    </row>
    <row r="26" outlineLevel="1" s="477">
      <c r="A26" s="69" t="n"/>
      <c r="B26" s="72" t="n"/>
      <c r="C26" s="472" t="n"/>
      <c r="D26" s="459" t="b">
        <v>0</v>
      </c>
      <c r="E26" s="460" t="n"/>
      <c r="F26" s="140" t="n"/>
      <c r="G26" s="462" t="n"/>
      <c r="H26" s="462" t="n"/>
      <c r="I26" s="462" t="n"/>
      <c r="J26" s="462" t="n"/>
      <c r="K26" s="462" t="n"/>
      <c r="L26" s="462" t="n"/>
      <c r="M26" s="462" t="n"/>
      <c r="N26" s="462" t="n"/>
      <c r="O26" s="462" t="n"/>
      <c r="P26" s="462" t="n"/>
      <c r="Q26" s="462" t="n"/>
      <c r="R26" s="462" t="n"/>
      <c r="S26" s="462" t="n"/>
      <c r="T26" s="462" t="n"/>
      <c r="U26" s="462" t="n"/>
      <c r="V26" s="462" t="n"/>
      <c r="W26" s="462" t="n"/>
      <c r="X26" s="462" t="n"/>
      <c r="Y26" s="462" t="n"/>
      <c r="Z26" s="462" t="n"/>
    </row>
    <row r="27" outlineLevel="1" s="477">
      <c r="A27" s="69" t="n"/>
      <c r="B27" s="72" t="n"/>
      <c r="C27" s="472" t="n"/>
      <c r="D27" s="459" t="b">
        <v>0</v>
      </c>
      <c r="E27" s="460" t="n"/>
      <c r="F27" s="140" t="n"/>
      <c r="G27" s="462" t="n"/>
      <c r="H27" s="462" t="n"/>
      <c r="I27" s="462" t="n"/>
      <c r="J27" s="462" t="n"/>
      <c r="K27" s="462" t="n"/>
      <c r="L27" s="462" t="n"/>
      <c r="M27" s="462" t="n"/>
      <c r="N27" s="462" t="n"/>
      <c r="O27" s="462" t="n"/>
      <c r="P27" s="462" t="n"/>
      <c r="Q27" s="462" t="n"/>
      <c r="R27" s="462" t="n"/>
      <c r="S27" s="462" t="n"/>
      <c r="T27" s="462" t="n"/>
      <c r="U27" s="462" t="n"/>
      <c r="V27" s="462" t="n"/>
      <c r="W27" s="462" t="n"/>
      <c r="X27" s="462" t="n"/>
      <c r="Y27" s="462" t="n"/>
      <c r="Z27" s="462" t="n"/>
    </row>
    <row r="28" outlineLevel="1" s="477">
      <c r="A28" s="69" t="n"/>
      <c r="B28" s="72" t="n"/>
      <c r="C28" s="472" t="n"/>
      <c r="D28" s="459" t="b">
        <v>0</v>
      </c>
      <c r="E28" s="460" t="n"/>
      <c r="F28" s="140" t="n"/>
      <c r="G28" s="462" t="n"/>
      <c r="H28" s="462" t="n"/>
      <c r="I28" s="462" t="n"/>
      <c r="J28" s="462" t="n"/>
      <c r="K28" s="462" t="n"/>
      <c r="L28" s="462" t="n"/>
      <c r="M28" s="462" t="n"/>
      <c r="N28" s="462" t="n"/>
      <c r="O28" s="462" t="n"/>
      <c r="P28" s="462" t="n"/>
      <c r="Q28" s="462" t="n"/>
      <c r="R28" s="462" t="n"/>
      <c r="S28" s="462" t="n"/>
      <c r="T28" s="462" t="n"/>
      <c r="U28" s="462" t="n"/>
      <c r="V28" s="462" t="n"/>
      <c r="W28" s="462" t="n"/>
      <c r="X28" s="462" t="n"/>
      <c r="Y28" s="462" t="n"/>
      <c r="Z28" s="462" t="n"/>
    </row>
    <row r="29" outlineLevel="1" s="477">
      <c r="A29" s="69" t="n"/>
      <c r="B29" s="72" t="n"/>
      <c r="C29" s="472" t="n"/>
      <c r="D29" s="459" t="b">
        <v>0</v>
      </c>
      <c r="E29" s="460" t="n"/>
      <c r="F29" s="140" t="n"/>
      <c r="G29" s="462" t="n"/>
      <c r="H29" s="462" t="n"/>
      <c r="I29" s="462" t="n"/>
      <c r="J29" s="462" t="n"/>
      <c r="K29" s="462" t="n"/>
      <c r="L29" s="462" t="n"/>
      <c r="M29" s="462" t="n"/>
      <c r="N29" s="462" t="n"/>
      <c r="O29" s="462" t="n"/>
      <c r="P29" s="462" t="n"/>
      <c r="Q29" s="462" t="n"/>
      <c r="R29" s="462" t="n"/>
      <c r="S29" s="462" t="n"/>
      <c r="T29" s="462" t="n"/>
      <c r="U29" s="462" t="n"/>
      <c r="V29" s="462" t="n"/>
      <c r="W29" s="462" t="n"/>
      <c r="X29" s="462" t="n"/>
      <c r="Y29" s="462" t="n"/>
      <c r="Z29" s="462" t="n"/>
    </row>
    <row r="30" outlineLevel="1" s="477">
      <c r="A30" s="69" t="n"/>
      <c r="B30" s="72" t="n"/>
      <c r="C30" s="472" t="n"/>
      <c r="D30" s="459" t="b">
        <v>0</v>
      </c>
      <c r="E30" s="460" t="n"/>
      <c r="F30" s="140" t="n"/>
      <c r="G30" s="462" t="n"/>
      <c r="H30" s="462" t="n"/>
      <c r="I30" s="462" t="n"/>
      <c r="J30" s="462" t="n"/>
      <c r="K30" s="462" t="n"/>
      <c r="L30" s="462" t="n"/>
      <c r="M30" s="462" t="n"/>
      <c r="N30" s="462" t="n"/>
      <c r="O30" s="462" t="n"/>
      <c r="P30" s="462" t="n"/>
      <c r="Q30" s="462" t="n"/>
      <c r="R30" s="462" t="n"/>
      <c r="S30" s="462" t="n"/>
      <c r="T30" s="462" t="n"/>
      <c r="U30" s="462" t="n"/>
      <c r="V30" s="462" t="n"/>
      <c r="W30" s="462" t="n"/>
      <c r="X30" s="462" t="n"/>
      <c r="Y30" s="462" t="n"/>
      <c r="Z30" s="462" t="n"/>
    </row>
    <row r="31" outlineLevel="1" s="477">
      <c r="A31" s="69" t="n"/>
      <c r="B31" s="72" t="n"/>
      <c r="C31" s="472" t="n"/>
      <c r="D31" s="459" t="b">
        <v>0</v>
      </c>
      <c r="E31" s="460" t="n"/>
      <c r="F31" s="140" t="n"/>
      <c r="G31" s="462" t="n"/>
      <c r="H31" s="462" t="n"/>
      <c r="I31" s="462" t="n"/>
      <c r="J31" s="462" t="n"/>
      <c r="K31" s="462" t="n"/>
      <c r="L31" s="462" t="n"/>
      <c r="M31" s="462" t="n"/>
      <c r="N31" s="462" t="n"/>
      <c r="O31" s="462" t="n"/>
      <c r="P31" s="462" t="n"/>
      <c r="Q31" s="462" t="n"/>
      <c r="R31" s="462" t="n"/>
      <c r="S31" s="462" t="n"/>
      <c r="T31" s="462" t="n"/>
      <c r="U31" s="462" t="n"/>
      <c r="V31" s="462" t="n"/>
      <c r="W31" s="462" t="n"/>
      <c r="X31" s="462" t="n"/>
      <c r="Y31" s="462" t="n"/>
      <c r="Z31" s="462" t="n"/>
    </row>
    <row r="32" outlineLevel="1" s="477">
      <c r="A32" s="69" t="n"/>
      <c r="B32" s="72" t="n"/>
      <c r="C32" s="472" t="n"/>
      <c r="D32" s="472" t="n"/>
      <c r="E32" s="472" t="n"/>
      <c r="F32" s="140" t="n"/>
      <c r="G32" s="462" t="n"/>
      <c r="H32" s="462" t="n"/>
      <c r="I32" s="462" t="n"/>
      <c r="J32" s="462" t="n"/>
      <c r="K32" s="462" t="n"/>
      <c r="L32" s="462" t="n"/>
      <c r="M32" s="462" t="n"/>
      <c r="N32" s="462" t="n"/>
      <c r="O32" s="462" t="n"/>
      <c r="P32" s="462" t="n"/>
      <c r="Q32" s="462" t="n"/>
      <c r="R32" s="462" t="n"/>
      <c r="S32" s="462" t="n"/>
      <c r="T32" s="462" t="n"/>
      <c r="U32" s="462" t="n"/>
      <c r="V32" s="462" t="n"/>
      <c r="W32" s="462" t="n"/>
      <c r="X32" s="462" t="n"/>
      <c r="Y32" s="462" t="n"/>
      <c r="Z32" s="462" t="n"/>
    </row>
    <row r="33" ht="9" customHeight="1" s="477">
      <c r="A33" s="69" t="n"/>
      <c r="B33" s="72" t="n"/>
      <c r="C33" s="73" t="n"/>
      <c r="D33" s="114" t="n"/>
      <c r="E33" s="114" t="n"/>
      <c r="F33" s="69" t="n"/>
    </row>
    <row r="34" ht="25.5" customHeight="1" s="477">
      <c r="A34" s="69" t="n"/>
      <c r="B34" s="141" t="inlineStr">
        <is>
          <t>『  次へ  』</t>
        </is>
      </c>
      <c r="C34" s="142" t="inlineStr">
        <is>
          <t>をクリック</t>
        </is>
      </c>
      <c r="D34" s="73" t="n"/>
      <c r="E34" s="73" t="n"/>
      <c r="F34" s="69" t="n"/>
    </row>
    <row r="35">
      <c r="A35" s="69" t="n"/>
      <c r="B35" s="72" t="n"/>
      <c r="C35" s="73" t="n"/>
      <c r="D35" s="69" t="n"/>
      <c r="E35" s="69" t="n"/>
      <c r="F35" s="69" t="n"/>
      <c r="G35" s="462" t="n"/>
      <c r="H35" s="462" t="n"/>
      <c r="I35" s="462" t="n"/>
      <c r="J35" s="462" t="n"/>
      <c r="K35" s="462" t="n"/>
      <c r="L35" s="462" t="n"/>
      <c r="M35" s="462" t="n"/>
      <c r="N35" s="462" t="n"/>
      <c r="O35" s="462" t="n"/>
      <c r="P35" s="462" t="n"/>
      <c r="Q35" s="462" t="n"/>
      <c r="R35" s="462" t="n"/>
      <c r="S35" s="462" t="n"/>
      <c r="T35" s="462" t="n"/>
      <c r="U35" s="462" t="n"/>
      <c r="V35" s="462" t="n"/>
      <c r="W35" s="462" t="n"/>
      <c r="X35" s="462" t="n"/>
      <c r="Y35" s="462" t="n"/>
      <c r="Z35" s="462" t="n"/>
    </row>
    <row r="36">
      <c r="A36" s="69" t="n"/>
      <c r="B36" s="497" t="inlineStr">
        <is>
          <t>支払方法選択</t>
        </is>
      </c>
      <c r="F36" s="69" t="n"/>
      <c r="G36" s="462" t="n"/>
      <c r="H36" s="462" t="n"/>
      <c r="I36" s="462" t="n"/>
      <c r="J36" s="462" t="n"/>
      <c r="K36" s="462" t="n"/>
      <c r="L36" s="462" t="n"/>
      <c r="M36" s="462" t="n"/>
      <c r="N36" s="462" t="n"/>
      <c r="O36" s="462" t="n"/>
      <c r="P36" s="462" t="n"/>
      <c r="Q36" s="462" t="n"/>
      <c r="R36" s="462" t="n"/>
      <c r="S36" s="462" t="n"/>
      <c r="T36" s="462" t="n"/>
      <c r="U36" s="462" t="n"/>
      <c r="V36" s="462" t="n"/>
      <c r="W36" s="462" t="n"/>
      <c r="X36" s="462" t="n"/>
      <c r="Y36" s="462" t="n"/>
      <c r="Z36" s="462" t="n"/>
    </row>
    <row r="37" ht="6" customHeight="1" s="477">
      <c r="A37" s="69" t="n"/>
      <c r="B37" s="72" t="n"/>
      <c r="C37" s="73" t="n"/>
      <c r="D37" s="69" t="n"/>
      <c r="E37" s="69" t="n"/>
      <c r="F37" s="69" t="n"/>
      <c r="G37" s="462" t="n"/>
      <c r="H37" s="462" t="n"/>
      <c r="I37" s="462" t="n"/>
      <c r="J37" s="462" t="n"/>
      <c r="K37" s="462" t="n"/>
      <c r="L37" s="462" t="n"/>
      <c r="M37" s="462" t="n"/>
      <c r="N37" s="462" t="n"/>
      <c r="O37" s="462" t="n"/>
      <c r="P37" s="462" t="n"/>
      <c r="Q37" s="462" t="n"/>
      <c r="R37" s="462" t="n"/>
      <c r="S37" s="462" t="n"/>
      <c r="T37" s="462" t="n"/>
      <c r="U37" s="462" t="n"/>
      <c r="V37" s="462" t="n"/>
      <c r="W37" s="462" t="n"/>
      <c r="X37" s="462" t="n"/>
      <c r="Y37" s="462" t="n"/>
      <c r="Z37" s="462" t="n"/>
    </row>
    <row r="38">
      <c r="A38" s="69" t="n"/>
      <c r="B38" s="72" t="inlineStr">
        <is>
          <t>▪️ 銀行振込　　　□ クレジットカード</t>
        </is>
      </c>
      <c r="C38" s="73" t="n"/>
      <c r="D38" s="69" t="n"/>
      <c r="E38" s="69" t="n"/>
      <c r="F38" s="69" t="n"/>
      <c r="G38" s="462" t="n"/>
      <c r="H38" s="462" t="n"/>
      <c r="I38" s="462" t="n"/>
      <c r="J38" s="462" t="n"/>
      <c r="K38" s="462" t="n"/>
      <c r="L38" s="462" t="n"/>
      <c r="M38" s="462" t="n"/>
      <c r="N38" s="462" t="n"/>
      <c r="O38" s="462" t="n"/>
      <c r="P38" s="462" t="n"/>
      <c r="Q38" s="462" t="n"/>
      <c r="R38" s="462" t="n"/>
      <c r="S38" s="462" t="n"/>
      <c r="T38" s="462" t="n"/>
      <c r="U38" s="462" t="n"/>
      <c r="V38" s="462" t="n"/>
      <c r="W38" s="462" t="n"/>
      <c r="X38" s="462" t="n"/>
      <c r="Y38" s="462" t="n"/>
      <c r="Z38" s="462" t="n"/>
    </row>
    <row r="39" ht="9" customHeight="1" s="477">
      <c r="A39" s="69" t="n"/>
      <c r="B39" s="72" t="n"/>
      <c r="C39" s="73" t="n"/>
      <c r="D39" s="69" t="n"/>
      <c r="E39" s="69" t="n"/>
      <c r="F39" s="69" t="n"/>
    </row>
    <row r="40" ht="25.5" customHeight="1" s="477">
      <c r="A40" s="69" t="n"/>
      <c r="B40" s="141" t="inlineStr">
        <is>
          <t>『  次へ  』</t>
        </is>
      </c>
      <c r="C40" s="142" t="inlineStr">
        <is>
          <t>をクリック</t>
        </is>
      </c>
      <c r="D40" s="73" t="n"/>
      <c r="E40" s="73" t="n"/>
      <c r="F40" s="69" t="n"/>
    </row>
    <row r="41">
      <c r="A41" s="69" t="n"/>
      <c r="B41" s="72" t="n"/>
      <c r="C41" s="73" t="n"/>
      <c r="D41" s="69" t="n"/>
      <c r="E41" s="69" t="n"/>
      <c r="F41" s="69" t="n"/>
      <c r="G41" s="462" t="n"/>
      <c r="H41" s="462" t="n"/>
      <c r="I41" s="462" t="n"/>
      <c r="J41" s="462" t="n"/>
      <c r="K41" s="462" t="n"/>
      <c r="L41" s="462" t="n"/>
      <c r="M41" s="462" t="n"/>
      <c r="N41" s="462" t="n"/>
      <c r="O41" s="462" t="n"/>
      <c r="P41" s="462" t="n"/>
      <c r="Q41" s="462" t="n"/>
      <c r="R41" s="462" t="n"/>
      <c r="S41" s="462" t="n"/>
      <c r="T41" s="462" t="n"/>
      <c r="U41" s="462" t="n"/>
      <c r="V41" s="462" t="n"/>
      <c r="W41" s="462" t="n"/>
      <c r="X41" s="462" t="n"/>
      <c r="Y41" s="462" t="n"/>
      <c r="Z41" s="462" t="n"/>
    </row>
    <row r="42">
      <c r="A42" s="69" t="n"/>
      <c r="B42" s="497" t="inlineStr">
        <is>
          <t>支払証憑</t>
        </is>
      </c>
      <c r="F42" s="69" t="n"/>
      <c r="G42" s="462" t="n"/>
      <c r="H42" s="462" t="n"/>
      <c r="I42" s="462" t="n"/>
      <c r="J42" s="462" t="n"/>
      <c r="K42" s="462" t="n"/>
      <c r="L42" s="462" t="n"/>
      <c r="M42" s="462" t="n"/>
      <c r="N42" s="462" t="n"/>
      <c r="O42" s="462" t="n"/>
      <c r="P42" s="462" t="n"/>
      <c r="Q42" s="462" t="n"/>
      <c r="R42" s="462" t="n"/>
      <c r="S42" s="462" t="n"/>
      <c r="T42" s="462" t="n"/>
      <c r="U42" s="462" t="n"/>
      <c r="V42" s="462" t="n"/>
      <c r="W42" s="462" t="n"/>
      <c r="X42" s="462" t="n"/>
      <c r="Y42" s="462" t="n"/>
      <c r="Z42" s="462" t="n"/>
    </row>
    <row r="43" ht="6" customHeight="1" s="477">
      <c r="A43" s="69" t="n"/>
      <c r="B43" s="72" t="n"/>
      <c r="C43" s="73" t="n"/>
      <c r="D43" s="69" t="n"/>
      <c r="E43" s="69" t="n"/>
      <c r="F43" s="69" t="n"/>
      <c r="G43" s="462" t="n"/>
      <c r="H43" s="462" t="n"/>
      <c r="I43" s="462" t="n"/>
      <c r="J43" s="462" t="n"/>
      <c r="K43" s="462" t="n"/>
      <c r="L43" s="462" t="n"/>
      <c r="M43" s="462" t="n"/>
      <c r="N43" s="462" t="n"/>
      <c r="O43" s="462" t="n"/>
      <c r="P43" s="462" t="n"/>
      <c r="Q43" s="462" t="n"/>
      <c r="R43" s="462" t="n"/>
      <c r="S43" s="462" t="n"/>
      <c r="T43" s="462" t="n"/>
      <c r="U43" s="462" t="n"/>
      <c r="V43" s="462" t="n"/>
      <c r="W43" s="462" t="n"/>
      <c r="X43" s="462" t="n"/>
      <c r="Y43" s="462" t="n"/>
      <c r="Z43" s="462" t="n"/>
    </row>
    <row r="44" ht="28.5" customHeight="1" s="477">
      <c r="A44" s="221" t="n"/>
      <c r="B44" s="222" t="inlineStr">
        <is>
          <t>ファイル添付</t>
        </is>
      </c>
      <c r="C44" s="253" t="n"/>
      <c r="D44" s="253" t="n"/>
      <c r="E44" s="253" t="n"/>
      <c r="F44" s="140" t="n"/>
      <c r="G44" s="140" t="n"/>
      <c r="H44" s="462" t="n"/>
      <c r="I44" s="462" t="n"/>
      <c r="J44" s="462" t="n"/>
      <c r="K44" s="462" t="n"/>
      <c r="L44" s="462" t="n"/>
      <c r="M44" s="462" t="n"/>
      <c r="N44" s="462" t="n"/>
      <c r="O44" s="462" t="n"/>
      <c r="P44" s="462" t="n"/>
      <c r="Q44" s="462" t="n"/>
      <c r="R44" s="462" t="n"/>
      <c r="S44" s="462" t="n"/>
      <c r="T44" s="462" t="n"/>
      <c r="U44" s="462" t="n"/>
      <c r="V44" s="462" t="n"/>
      <c r="W44" s="462" t="n"/>
      <c r="X44" s="462" t="n"/>
      <c r="Y44" s="462" t="n"/>
      <c r="Z44" s="462" t="n"/>
    </row>
    <row r="45" ht="9" customHeight="1" s="477">
      <c r="A45" s="69" t="n"/>
      <c r="B45" s="72" t="n"/>
      <c r="C45" s="73" t="n"/>
      <c r="D45" s="69" t="n"/>
      <c r="E45" s="69" t="n"/>
      <c r="F45" s="69" t="n"/>
    </row>
    <row r="46" ht="25.5" customHeight="1" s="477">
      <c r="A46" s="69" t="n"/>
      <c r="B46" s="141" t="inlineStr">
        <is>
          <t>『  次へ  』</t>
        </is>
      </c>
      <c r="C46" s="142" t="inlineStr">
        <is>
          <t>をクリック</t>
        </is>
      </c>
      <c r="D46" s="73" t="n"/>
      <c r="E46" s="73" t="n"/>
      <c r="F46" s="69" t="n"/>
    </row>
    <row r="47">
      <c r="A47" s="69" t="n"/>
      <c r="B47" s="72" t="n"/>
      <c r="C47" s="73" t="n"/>
      <c r="D47" s="69" t="n"/>
      <c r="E47" s="69" t="n"/>
      <c r="F47" s="69" t="n"/>
      <c r="G47" s="462" t="n"/>
      <c r="H47" s="462" t="n"/>
      <c r="I47" s="462" t="n"/>
      <c r="J47" s="462" t="n"/>
      <c r="K47" s="462" t="n"/>
      <c r="L47" s="462" t="n"/>
      <c r="M47" s="462" t="n"/>
      <c r="N47" s="462" t="n"/>
      <c r="O47" s="462" t="n"/>
      <c r="P47" s="462" t="n"/>
      <c r="Q47" s="462" t="n"/>
      <c r="R47" s="462" t="n"/>
      <c r="S47" s="462" t="n"/>
      <c r="T47" s="462" t="n"/>
      <c r="U47" s="462" t="n"/>
      <c r="V47" s="462" t="n"/>
      <c r="W47" s="462" t="n"/>
      <c r="X47" s="462" t="n"/>
      <c r="Y47" s="462" t="n"/>
      <c r="Z47" s="462" t="n"/>
    </row>
    <row r="48">
      <c r="A48" s="69" t="n"/>
      <c r="B48" s="497" t="inlineStr">
        <is>
          <t>その他添付資料</t>
        </is>
      </c>
      <c r="F48" s="69" t="n"/>
      <c r="G48" s="462" t="n"/>
      <c r="H48" s="462" t="n"/>
      <c r="I48" s="462" t="n"/>
      <c r="J48" s="462" t="n"/>
      <c r="K48" s="462" t="n"/>
      <c r="L48" s="462" t="n"/>
      <c r="M48" s="462" t="n"/>
      <c r="N48" s="462" t="n"/>
      <c r="O48" s="462" t="n"/>
      <c r="P48" s="462" t="n"/>
      <c r="Q48" s="462" t="n"/>
      <c r="R48" s="462" t="n"/>
      <c r="S48" s="462" t="n"/>
      <c r="T48" s="462" t="n"/>
      <c r="U48" s="462" t="n"/>
      <c r="V48" s="462" t="n"/>
      <c r="W48" s="462" t="n"/>
      <c r="X48" s="462" t="n"/>
      <c r="Y48" s="462" t="n"/>
      <c r="Z48" s="462" t="n"/>
    </row>
    <row r="49" ht="6" customHeight="1" s="477">
      <c r="A49" s="69" t="n"/>
      <c r="B49" s="72" t="n"/>
      <c r="C49" s="73" t="n"/>
      <c r="D49" s="69" t="n"/>
      <c r="E49" s="69" t="n"/>
      <c r="F49" s="69" t="n"/>
      <c r="G49" s="462" t="n"/>
      <c r="H49" s="462" t="n"/>
      <c r="I49" s="462" t="n"/>
      <c r="J49" s="462" t="n"/>
      <c r="K49" s="462" t="n"/>
      <c r="L49" s="462" t="n"/>
      <c r="M49" s="462" t="n"/>
      <c r="N49" s="462" t="n"/>
      <c r="O49" s="462" t="n"/>
      <c r="P49" s="462" t="n"/>
      <c r="Q49" s="462" t="n"/>
      <c r="R49" s="462" t="n"/>
      <c r="S49" s="462" t="n"/>
      <c r="T49" s="462" t="n"/>
      <c r="U49" s="462" t="n"/>
      <c r="V49" s="462" t="n"/>
      <c r="W49" s="462" t="n"/>
      <c r="X49" s="462" t="n"/>
      <c r="Y49" s="462" t="n"/>
      <c r="Z49" s="462" t="n"/>
    </row>
    <row r="50" ht="28.5" customHeight="1" s="477">
      <c r="A50" s="221" t="n"/>
      <c r="B50" s="222" t="inlineStr">
        <is>
          <t>ファイル添付</t>
        </is>
      </c>
      <c r="C50" s="253" t="n"/>
      <c r="D50" s="253" t="n"/>
      <c r="E50" s="253" t="n"/>
      <c r="F50" s="140" t="n"/>
      <c r="G50" s="140" t="n"/>
      <c r="H50" s="462" t="n"/>
      <c r="I50" s="462" t="n"/>
      <c r="J50" s="462" t="n"/>
      <c r="K50" s="462" t="n"/>
      <c r="L50" s="462" t="n"/>
      <c r="M50" s="462" t="n"/>
      <c r="N50" s="462" t="n"/>
      <c r="O50" s="462" t="n"/>
      <c r="P50" s="462" t="n"/>
      <c r="Q50" s="462" t="n"/>
      <c r="R50" s="462" t="n"/>
      <c r="S50" s="462" t="n"/>
      <c r="T50" s="462" t="n"/>
      <c r="U50" s="462" t="n"/>
      <c r="V50" s="462" t="n"/>
      <c r="W50" s="462" t="n"/>
      <c r="X50" s="462" t="n"/>
      <c r="Y50" s="462" t="n"/>
      <c r="Z50" s="462" t="n"/>
    </row>
    <row r="51" ht="9" customHeight="1" s="477">
      <c r="A51" s="69" t="n"/>
      <c r="B51" s="72" t="n"/>
      <c r="C51" s="73" t="n"/>
      <c r="D51" s="69" t="n"/>
      <c r="E51" s="69" t="n"/>
      <c r="F51" s="69" t="n"/>
    </row>
    <row r="52" ht="28.5" customHeight="1" s="477">
      <c r="A52" s="221" t="n"/>
      <c r="B52" s="222" t="inlineStr">
        <is>
          <t>ファイル添付</t>
        </is>
      </c>
      <c r="C52" s="253" t="n"/>
      <c r="D52" s="253" t="n"/>
      <c r="E52" s="253" t="n"/>
      <c r="F52" s="140" t="n"/>
      <c r="G52" s="140" t="n"/>
      <c r="H52" s="462" t="n"/>
      <c r="I52" s="462" t="n"/>
      <c r="J52" s="462" t="n"/>
      <c r="K52" s="462" t="n"/>
      <c r="L52" s="462" t="n"/>
      <c r="M52" s="462" t="n"/>
      <c r="N52" s="462" t="n"/>
      <c r="O52" s="462" t="n"/>
      <c r="P52" s="462" t="n"/>
      <c r="Q52" s="462" t="n"/>
      <c r="R52" s="462" t="n"/>
      <c r="S52" s="462" t="n"/>
      <c r="T52" s="462" t="n"/>
      <c r="U52" s="462" t="n"/>
      <c r="V52" s="462" t="n"/>
      <c r="W52" s="462" t="n"/>
      <c r="X52" s="462" t="n"/>
      <c r="Y52" s="462" t="n"/>
      <c r="Z52" s="462" t="n"/>
    </row>
    <row r="53" ht="9" customHeight="1" s="477">
      <c r="A53" s="69" t="n"/>
      <c r="B53" s="72" t="n"/>
      <c r="C53" s="73" t="n"/>
      <c r="D53" s="69" t="n"/>
      <c r="E53" s="69" t="n"/>
      <c r="F53" s="69" t="n"/>
    </row>
    <row r="54" ht="25.5" customHeight="1" s="477">
      <c r="A54" s="69" t="n"/>
      <c r="B54" s="141" t="inlineStr">
        <is>
          <t>『  次へ  』</t>
        </is>
      </c>
      <c r="C54" s="142" t="inlineStr">
        <is>
          <t>をクリック</t>
        </is>
      </c>
      <c r="D54" s="73" t="n"/>
      <c r="E54" s="73" t="n"/>
      <c r="F54" s="69" t="n"/>
    </row>
    <row r="55">
      <c r="A55" s="69" t="n"/>
      <c r="B55" s="72" t="n"/>
      <c r="C55" s="73" t="n"/>
      <c r="D55" s="69" t="n"/>
      <c r="E55" s="69" t="n"/>
      <c r="F55" s="69" t="n"/>
      <c r="G55" s="462" t="n"/>
      <c r="H55" s="462" t="n"/>
      <c r="I55" s="462" t="n"/>
      <c r="J55" s="462" t="n"/>
      <c r="K55" s="462" t="n"/>
      <c r="L55" s="462" t="n"/>
      <c r="M55" s="462" t="n"/>
      <c r="N55" s="462" t="n"/>
      <c r="O55" s="462" t="n"/>
      <c r="P55" s="462" t="n"/>
      <c r="Q55" s="462" t="n"/>
      <c r="R55" s="462" t="n"/>
      <c r="S55" s="462" t="n"/>
      <c r="T55" s="462" t="n"/>
      <c r="U55" s="462" t="n"/>
      <c r="V55" s="462" t="n"/>
      <c r="W55" s="462" t="n"/>
      <c r="X55" s="462" t="n"/>
      <c r="Y55" s="462" t="n"/>
      <c r="Z55" s="462" t="n"/>
    </row>
    <row r="56">
      <c r="A56" s="69" t="n"/>
      <c r="B56" s="497" t="inlineStr">
        <is>
          <t>ソフトウエア証憑</t>
        </is>
      </c>
      <c r="F56" s="69" t="n"/>
      <c r="G56" s="462" t="n"/>
      <c r="H56" s="462" t="n"/>
      <c r="I56" s="462" t="n"/>
      <c r="J56" s="462" t="n"/>
      <c r="K56" s="462" t="n"/>
      <c r="L56" s="462" t="n"/>
      <c r="M56" s="462" t="n"/>
      <c r="N56" s="462" t="n"/>
      <c r="O56" s="462" t="n"/>
      <c r="P56" s="462" t="n"/>
      <c r="Q56" s="462" t="n"/>
      <c r="R56" s="462" t="n"/>
      <c r="S56" s="462" t="n"/>
      <c r="T56" s="462" t="n"/>
      <c r="U56" s="462" t="n"/>
      <c r="V56" s="462" t="n"/>
      <c r="W56" s="462" t="n"/>
      <c r="X56" s="462" t="n"/>
      <c r="Y56" s="462" t="n"/>
      <c r="Z56" s="462" t="n"/>
    </row>
    <row r="57" ht="6" customHeight="1" s="477">
      <c r="A57" s="69" t="n"/>
      <c r="B57" s="72" t="n"/>
      <c r="C57" s="73" t="n"/>
      <c r="D57" s="69" t="n"/>
      <c r="E57" s="69" t="n"/>
      <c r="F57" s="69" t="n"/>
      <c r="G57" s="462" t="n"/>
      <c r="H57" s="462" t="n"/>
      <c r="I57" s="462" t="n"/>
      <c r="J57" s="462" t="n"/>
      <c r="K57" s="462" t="n"/>
      <c r="L57" s="462" t="n"/>
      <c r="M57" s="462" t="n"/>
      <c r="N57" s="462" t="n"/>
      <c r="O57" s="462" t="n"/>
      <c r="P57" s="462" t="n"/>
      <c r="Q57" s="462" t="n"/>
      <c r="R57" s="462" t="n"/>
      <c r="S57" s="462" t="n"/>
      <c r="T57" s="462" t="n"/>
      <c r="U57" s="462" t="n"/>
      <c r="V57" s="462" t="n"/>
      <c r="W57" s="462" t="n"/>
      <c r="X57" s="462" t="n"/>
      <c r="Y57" s="462" t="n"/>
      <c r="Z57" s="462" t="n"/>
    </row>
    <row r="58" ht="28.5" customHeight="1" s="477">
      <c r="A58" s="221" t="n"/>
      <c r="B58" s="222" t="inlineStr">
        <is>
          <t>ファイル添付</t>
        </is>
      </c>
      <c r="C58" s="253" t="n"/>
      <c r="D58" s="253" t="n"/>
      <c r="E58" s="253" t="n"/>
      <c r="F58" s="140" t="n"/>
      <c r="G58" s="140" t="n"/>
      <c r="H58" s="462" t="n"/>
      <c r="I58" s="462" t="n"/>
      <c r="J58" s="462" t="n"/>
      <c r="K58" s="462" t="n"/>
      <c r="L58" s="462" t="n"/>
      <c r="M58" s="462" t="n"/>
      <c r="N58" s="462" t="n"/>
      <c r="O58" s="462" t="n"/>
      <c r="P58" s="462" t="n"/>
      <c r="Q58" s="462" t="n"/>
      <c r="R58" s="462" t="n"/>
      <c r="S58" s="462" t="n"/>
      <c r="T58" s="462" t="n"/>
      <c r="U58" s="462" t="n"/>
      <c r="V58" s="462" t="n"/>
      <c r="W58" s="462" t="n"/>
      <c r="X58" s="462" t="n"/>
      <c r="Y58" s="462" t="n"/>
      <c r="Z58" s="462" t="n"/>
    </row>
    <row r="59" ht="9" customHeight="1" s="477">
      <c r="A59" s="69" t="n"/>
      <c r="B59" s="72" t="n"/>
      <c r="C59" s="73" t="n"/>
      <c r="D59" s="69" t="n"/>
      <c r="E59" s="69" t="n"/>
      <c r="F59" s="69" t="n"/>
    </row>
    <row r="60" ht="25.5" customHeight="1" s="477">
      <c r="A60" s="69" t="n"/>
      <c r="B60" s="141" t="inlineStr">
        <is>
          <t>『  次へ  』</t>
        </is>
      </c>
      <c r="C60" s="142" t="inlineStr">
        <is>
          <t>をクリック</t>
        </is>
      </c>
      <c r="D60" s="73" t="n"/>
      <c r="E60" s="73" t="n"/>
      <c r="F60" s="69" t="n"/>
    </row>
    <row r="61">
      <c r="A61" s="69" t="n"/>
      <c r="B61" s="72" t="n"/>
      <c r="C61" s="73" t="n"/>
      <c r="D61" s="69" t="n"/>
      <c r="E61" s="69" t="n"/>
      <c r="F61" s="69" t="n"/>
      <c r="G61" s="462" t="n"/>
      <c r="H61" s="462" t="n"/>
      <c r="I61" s="462" t="n"/>
      <c r="J61" s="462" t="n"/>
      <c r="K61" s="462" t="n"/>
      <c r="L61" s="462" t="n"/>
      <c r="M61" s="462" t="n"/>
      <c r="N61" s="462" t="n"/>
      <c r="O61" s="462" t="n"/>
      <c r="P61" s="462" t="n"/>
      <c r="Q61" s="462" t="n"/>
      <c r="R61" s="462" t="n"/>
      <c r="S61" s="462" t="n"/>
      <c r="T61" s="462" t="n"/>
      <c r="U61" s="462" t="n"/>
      <c r="V61" s="462" t="n"/>
      <c r="W61" s="462" t="n"/>
      <c r="X61" s="462" t="n"/>
      <c r="Y61" s="462" t="n"/>
      <c r="Z61" s="462" t="n"/>
    </row>
    <row r="62">
      <c r="A62" s="69" t="n"/>
      <c r="B62" s="497" t="inlineStr">
        <is>
          <t>ハードウエア（PC•タブレット•プリンター•スキャナー・複合機）導入情報</t>
        </is>
      </c>
      <c r="F62" s="69" t="n"/>
      <c r="G62" s="462" t="n"/>
      <c r="H62" s="462" t="n"/>
      <c r="I62" s="462" t="n"/>
      <c r="J62" s="462" t="n"/>
      <c r="K62" s="462" t="n"/>
      <c r="L62" s="462" t="n"/>
      <c r="M62" s="462" t="n"/>
      <c r="N62" s="462" t="n"/>
      <c r="O62" s="462" t="n"/>
      <c r="P62" s="462" t="n"/>
      <c r="Q62" s="462" t="n"/>
      <c r="R62" s="462" t="n"/>
      <c r="S62" s="462" t="n"/>
      <c r="T62" s="462" t="n"/>
      <c r="U62" s="462" t="n"/>
      <c r="V62" s="462" t="n"/>
      <c r="W62" s="462" t="n"/>
      <c r="X62" s="462" t="n"/>
      <c r="Y62" s="462" t="n"/>
      <c r="Z62" s="462" t="n"/>
    </row>
    <row r="63" ht="6" customHeight="1" s="477">
      <c r="A63" s="69" t="n"/>
      <c r="B63" s="72" t="n"/>
      <c r="C63" s="73" t="n"/>
      <c r="D63" s="69" t="n"/>
      <c r="E63" s="69" t="n"/>
      <c r="F63" s="69" t="n"/>
      <c r="G63" s="462" t="n"/>
      <c r="H63" s="462" t="n"/>
      <c r="I63" s="462" t="n"/>
      <c r="J63" s="462" t="n"/>
      <c r="K63" s="462" t="n"/>
      <c r="L63" s="462" t="n"/>
      <c r="M63" s="462" t="n"/>
      <c r="N63" s="462" t="n"/>
      <c r="O63" s="462" t="n"/>
      <c r="P63" s="462" t="n"/>
      <c r="Q63" s="462" t="n"/>
      <c r="R63" s="462" t="n"/>
      <c r="S63" s="462" t="n"/>
      <c r="T63" s="462" t="n"/>
      <c r="U63" s="462" t="n"/>
      <c r="V63" s="462" t="n"/>
      <c r="W63" s="462" t="n"/>
      <c r="X63" s="462" t="n"/>
      <c r="Y63" s="462" t="n"/>
      <c r="Z63" s="462" t="n"/>
    </row>
    <row r="64">
      <c r="A64" s="69" t="n"/>
      <c r="B64" s="72" t="inlineStr">
        <is>
          <t>ハードウェア（PC・タブレット・プリンター・スキャナー・複合機）の導入を行いましたか？　　　　□はい　　　 ▪️いいえ</t>
        </is>
      </c>
      <c r="C64" s="73" t="n"/>
      <c r="D64" s="461" t="n"/>
      <c r="F64" s="69" t="n"/>
      <c r="G64" s="462" t="n"/>
      <c r="H64" s="462" t="n"/>
      <c r="I64" s="462" t="n"/>
      <c r="J64" s="462" t="n"/>
      <c r="K64" s="462" t="n"/>
      <c r="L64" s="462" t="n"/>
      <c r="M64" s="462" t="n"/>
      <c r="N64" s="462" t="n"/>
      <c r="O64" s="462" t="n"/>
      <c r="P64" s="462" t="n"/>
      <c r="Q64" s="462" t="n"/>
      <c r="R64" s="462" t="n"/>
      <c r="S64" s="462" t="n"/>
      <c r="T64" s="462" t="n"/>
      <c r="U64" s="462" t="n"/>
      <c r="V64" s="462" t="n"/>
      <c r="W64" s="462" t="n"/>
      <c r="X64" s="462" t="n"/>
      <c r="Y64" s="462" t="n"/>
      <c r="Z64" s="462" t="n"/>
    </row>
    <row r="65" ht="9" customHeight="1" s="477">
      <c r="A65" s="69" t="n"/>
      <c r="B65" s="72" t="n"/>
      <c r="C65" s="73" t="n"/>
      <c r="D65" s="69" t="n"/>
      <c r="F65" s="69" t="n"/>
    </row>
    <row r="66" ht="25.5" customHeight="1" s="477">
      <c r="A66" s="69" t="n"/>
      <c r="B66" s="141" t="inlineStr">
        <is>
          <t>『  次へ  』</t>
        </is>
      </c>
      <c r="C66" s="142" t="inlineStr">
        <is>
          <t>をクリック</t>
        </is>
      </c>
      <c r="D66" s="73" t="n"/>
      <c r="E66" s="463" t="inlineStr">
        <is>
          <t xml:space="preserve">　　　　　※「いいえ」にチェック</t>
        </is>
      </c>
      <c r="F66" s="69" t="n"/>
    </row>
    <row r="67">
      <c r="A67" s="69" t="n"/>
      <c r="B67" s="72" t="n"/>
      <c r="C67" s="73" t="n"/>
      <c r="D67" s="69" t="n"/>
      <c r="E67" s="69" t="n"/>
      <c r="F67" s="69" t="n"/>
      <c r="G67" s="462" t="n"/>
      <c r="H67" s="462" t="n"/>
      <c r="I67" s="462" t="n"/>
      <c r="J67" s="462" t="n"/>
      <c r="K67" s="462" t="n"/>
      <c r="L67" s="462" t="n"/>
      <c r="M67" s="462" t="n"/>
      <c r="N67" s="462" t="n"/>
      <c r="O67" s="462" t="n"/>
      <c r="P67" s="462" t="n"/>
      <c r="Q67" s="462" t="n"/>
      <c r="R67" s="462" t="n"/>
      <c r="S67" s="462" t="n"/>
      <c r="T67" s="462" t="n"/>
      <c r="U67" s="462" t="n"/>
      <c r="V67" s="462" t="n"/>
      <c r="W67" s="462" t="n"/>
      <c r="X67" s="462" t="n"/>
      <c r="Y67" s="462" t="n"/>
      <c r="Z67" s="462" t="n"/>
    </row>
    <row r="68">
      <c r="A68" s="69" t="n"/>
      <c r="B68" s="497" t="inlineStr">
        <is>
          <t>ハードウエア（POSレジ•モバイルPOSレジ•券売機）導入情報</t>
        </is>
      </c>
      <c r="F68" s="69" t="n"/>
      <c r="G68" s="462" t="n"/>
      <c r="H68" s="462" t="n"/>
      <c r="I68" s="462" t="n"/>
      <c r="J68" s="462" t="n"/>
      <c r="K68" s="462" t="n"/>
      <c r="L68" s="462" t="n"/>
      <c r="M68" s="462" t="n"/>
      <c r="N68" s="462" t="n"/>
      <c r="O68" s="462" t="n"/>
      <c r="P68" s="462" t="n"/>
      <c r="Q68" s="462" t="n"/>
      <c r="R68" s="462" t="n"/>
      <c r="S68" s="462" t="n"/>
      <c r="T68" s="462" t="n"/>
      <c r="U68" s="462" t="n"/>
      <c r="V68" s="462" t="n"/>
      <c r="W68" s="462" t="n"/>
      <c r="X68" s="462" t="n"/>
      <c r="Y68" s="462" t="n"/>
      <c r="Z68" s="462" t="n"/>
    </row>
    <row r="69" ht="6" customHeight="1" s="477">
      <c r="A69" s="69" t="n"/>
      <c r="B69" s="72" t="n"/>
      <c r="C69" s="73" t="n"/>
      <c r="D69" s="69" t="n"/>
      <c r="E69" s="69" t="n"/>
      <c r="F69" s="69" t="n"/>
      <c r="G69" s="462" t="n"/>
      <c r="H69" s="462" t="n"/>
      <c r="I69" s="462" t="n"/>
      <c r="J69" s="462" t="n"/>
      <c r="K69" s="462" t="n"/>
      <c r="L69" s="462" t="n"/>
      <c r="M69" s="462" t="n"/>
      <c r="N69" s="462" t="n"/>
      <c r="O69" s="462" t="n"/>
      <c r="P69" s="462" t="n"/>
      <c r="Q69" s="462" t="n"/>
      <c r="R69" s="462" t="n"/>
      <c r="S69" s="462" t="n"/>
      <c r="T69" s="462" t="n"/>
      <c r="U69" s="462" t="n"/>
      <c r="V69" s="462" t="n"/>
      <c r="W69" s="462" t="n"/>
      <c r="X69" s="462" t="n"/>
      <c r="Y69" s="462" t="n"/>
      <c r="Z69" s="462" t="n"/>
    </row>
    <row r="70">
      <c r="A70" s="69" t="n"/>
      <c r="B70" s="72" t="inlineStr">
        <is>
          <t>ハードウェア（POSレジ・モバイルPOSレジ・券売機）の導入を行いましたか？　　　　　　　　　　　□ はい　　　▪️ いいえ</t>
        </is>
      </c>
      <c r="C70" s="73" t="n"/>
      <c r="D70" s="461" t="n"/>
      <c r="F70" s="69" t="n"/>
      <c r="G70" s="462" t="n"/>
      <c r="H70" s="462" t="n"/>
      <c r="I70" s="462" t="n"/>
      <c r="J70" s="462" t="n"/>
      <c r="K70" s="462" t="n"/>
      <c r="L70" s="462" t="n"/>
      <c r="M70" s="462" t="n"/>
      <c r="N70" s="462" t="n"/>
      <c r="O70" s="462" t="n"/>
      <c r="P70" s="462" t="n"/>
      <c r="Q70" s="462" t="n"/>
      <c r="R70" s="462" t="n"/>
      <c r="S70" s="462" t="n"/>
      <c r="T70" s="462" t="n"/>
      <c r="U70" s="462" t="n"/>
      <c r="V70" s="462" t="n"/>
      <c r="W70" s="462" t="n"/>
      <c r="X70" s="462" t="n"/>
      <c r="Y70" s="462" t="n"/>
      <c r="Z70" s="462" t="n"/>
    </row>
    <row r="71" ht="9" customHeight="1" s="477">
      <c r="A71" s="69" t="n"/>
      <c r="B71" s="72" t="n"/>
      <c r="C71" s="73" t="n"/>
      <c r="D71" s="69" t="n"/>
      <c r="E71" s="69" t="n"/>
      <c r="F71" s="69" t="n"/>
    </row>
    <row r="72" ht="25.5" customHeight="1" s="477">
      <c r="A72" s="69" t="n"/>
      <c r="B72" s="141" t="inlineStr">
        <is>
          <t>『  次へ  』</t>
        </is>
      </c>
      <c r="C72" s="142" t="inlineStr">
        <is>
          <t>をクリック</t>
        </is>
      </c>
      <c r="D72" s="73" t="n"/>
      <c r="E72" s="463" t="inlineStr">
        <is>
          <t xml:space="preserve">　　　　　※「いいえ」にチェック</t>
        </is>
      </c>
      <c r="F72" s="69" t="n"/>
    </row>
    <row r="73">
      <c r="A73" s="69" t="n"/>
      <c r="B73" s="72" t="n"/>
      <c r="C73" s="73" t="n"/>
      <c r="D73" s="69" t="n"/>
      <c r="E73" s="69" t="n"/>
      <c r="F73" s="69" t="n"/>
      <c r="G73" s="462" t="n"/>
      <c r="H73" s="462" t="n"/>
      <c r="I73" s="462" t="n"/>
      <c r="J73" s="462" t="n"/>
      <c r="K73" s="462" t="n"/>
      <c r="L73" s="462" t="n"/>
      <c r="M73" s="462" t="n"/>
      <c r="N73" s="462" t="n"/>
      <c r="O73" s="462" t="n"/>
      <c r="P73" s="462" t="n"/>
      <c r="Q73" s="462" t="n"/>
      <c r="R73" s="462" t="n"/>
      <c r="S73" s="462" t="n"/>
      <c r="T73" s="462" t="n"/>
      <c r="U73" s="462" t="n"/>
      <c r="V73" s="462" t="n"/>
      <c r="W73" s="462" t="n"/>
      <c r="X73" s="462" t="n"/>
      <c r="Y73" s="462" t="n"/>
      <c r="Z73" s="462" t="n"/>
    </row>
    <row r="74">
      <c r="A74" s="69" t="n"/>
      <c r="B74" s="497" t="inlineStr">
        <is>
          <t>口座情報</t>
        </is>
      </c>
      <c r="F74" s="69" t="n"/>
      <c r="G74" s="462" t="n"/>
      <c r="H74" s="462" t="n"/>
      <c r="I74" s="462" t="n"/>
      <c r="J74" s="462" t="n"/>
      <c r="K74" s="462" t="n"/>
      <c r="L74" s="462" t="n"/>
      <c r="M74" s="462" t="n"/>
      <c r="N74" s="462" t="n"/>
      <c r="O74" s="462" t="n"/>
      <c r="P74" s="462" t="n"/>
      <c r="Q74" s="462" t="n"/>
      <c r="R74" s="462" t="n"/>
      <c r="S74" s="462" t="n"/>
      <c r="T74" s="462" t="n"/>
      <c r="U74" s="462" t="n"/>
      <c r="V74" s="462" t="n"/>
      <c r="W74" s="462" t="n"/>
      <c r="X74" s="462" t="n"/>
      <c r="Y74" s="462" t="n"/>
      <c r="Z74" s="462" t="n"/>
    </row>
    <row r="75" ht="6" customHeight="1" s="477">
      <c r="A75" s="69" t="n"/>
      <c r="B75" s="72" t="n"/>
      <c r="C75" s="73" t="n"/>
      <c r="D75" s="69" t="n"/>
      <c r="E75" s="69" t="n"/>
      <c r="F75" s="69" t="n"/>
      <c r="G75" s="462" t="n"/>
      <c r="H75" s="462" t="n"/>
      <c r="I75" s="462" t="n"/>
      <c r="J75" s="462" t="n"/>
      <c r="K75" s="462" t="n"/>
      <c r="L75" s="462" t="n"/>
      <c r="M75" s="462" t="n"/>
      <c r="N75" s="462" t="n"/>
      <c r="O75" s="462" t="n"/>
      <c r="P75" s="462" t="n"/>
      <c r="Q75" s="462" t="n"/>
      <c r="R75" s="462" t="n"/>
      <c r="S75" s="462" t="n"/>
      <c r="T75" s="462" t="n"/>
      <c r="U75" s="462" t="n"/>
      <c r="V75" s="462" t="n"/>
      <c r="W75" s="462" t="n"/>
      <c r="X75" s="462" t="n"/>
      <c r="Y75" s="462" t="n"/>
      <c r="Z75" s="462" t="n"/>
    </row>
    <row r="76" ht="28.5" customHeight="1" s="477">
      <c r="A76" s="221" t="n"/>
      <c r="B76" s="222" t="inlineStr">
        <is>
          <t>ファイル添付</t>
        </is>
      </c>
      <c r="C76" s="253" t="n"/>
      <c r="D76" s="253" t="n"/>
      <c r="E76" s="253" t="n"/>
      <c r="F76" s="140" t="n"/>
      <c r="G76" s="140" t="n"/>
      <c r="H76" s="462" t="n"/>
      <c r="I76" s="462" t="n"/>
      <c r="J76" s="462" t="n"/>
      <c r="K76" s="462" t="n"/>
      <c r="L76" s="462" t="n"/>
      <c r="M76" s="462" t="n"/>
      <c r="N76" s="462" t="n"/>
      <c r="O76" s="462" t="n"/>
      <c r="P76" s="462" t="n"/>
      <c r="Q76" s="462" t="n"/>
      <c r="R76" s="462" t="n"/>
      <c r="S76" s="462" t="n"/>
      <c r="T76" s="462" t="n"/>
      <c r="U76" s="462" t="n"/>
      <c r="V76" s="462" t="n"/>
      <c r="W76" s="462" t="n"/>
      <c r="X76" s="462" t="n"/>
      <c r="Y76" s="462" t="n"/>
      <c r="Z76" s="462" t="n"/>
    </row>
    <row r="77" ht="9" customHeight="1" s="477">
      <c r="A77" s="69" t="n"/>
      <c r="B77" s="72" t="n"/>
      <c r="C77" s="73" t="n"/>
      <c r="D77" s="69" t="n"/>
      <c r="E77" s="69" t="n"/>
      <c r="F77" s="69" t="n"/>
    </row>
    <row r="78" ht="25.5" customHeight="1" s="477">
      <c r="A78" s="69" t="n"/>
      <c r="B78" s="141" t="inlineStr">
        <is>
          <t>『  次へ  』</t>
        </is>
      </c>
      <c r="C78" s="142" t="inlineStr">
        <is>
          <t>をクリック</t>
        </is>
      </c>
      <c r="D78" s="73" t="n"/>
      <c r="E78" s="73" t="n"/>
      <c r="F78" s="69" t="n"/>
    </row>
    <row r="79">
      <c r="A79" s="69" t="n"/>
      <c r="B79" s="72" t="n"/>
      <c r="C79" s="73" t="n"/>
      <c r="D79" s="69" t="n"/>
      <c r="E79" s="69" t="n"/>
      <c r="F79" s="69" t="n"/>
      <c r="G79" s="462" t="n"/>
      <c r="H79" s="462" t="n"/>
      <c r="I79" s="462" t="n"/>
      <c r="J79" s="462" t="n"/>
      <c r="K79" s="462" t="n"/>
      <c r="L79" s="462" t="n"/>
      <c r="M79" s="462" t="n"/>
      <c r="N79" s="462" t="n"/>
      <c r="O79" s="462" t="n"/>
      <c r="P79" s="462" t="n"/>
      <c r="Q79" s="462" t="n"/>
      <c r="R79" s="462" t="n"/>
      <c r="S79" s="462" t="n"/>
      <c r="T79" s="462" t="n"/>
      <c r="U79" s="462" t="n"/>
      <c r="V79" s="462" t="n"/>
      <c r="W79" s="462" t="n"/>
      <c r="X79" s="462" t="n"/>
      <c r="Y79" s="462" t="n"/>
      <c r="Z79" s="462" t="n"/>
    </row>
    <row r="80">
      <c r="A80" s="69" t="n"/>
      <c r="B80" s="497" t="inlineStr">
        <is>
          <t>口座情報入力</t>
        </is>
      </c>
      <c r="F80" s="69" t="n"/>
      <c r="G80" s="462" t="n"/>
      <c r="H80" s="462" t="n"/>
      <c r="I80" s="462" t="n"/>
      <c r="J80" s="462" t="n"/>
      <c r="K80" s="462" t="n"/>
      <c r="L80" s="462" t="n"/>
      <c r="M80" s="462" t="n"/>
      <c r="N80" s="462" t="n"/>
      <c r="O80" s="462" t="n"/>
      <c r="P80" s="462" t="n"/>
      <c r="Q80" s="462" t="n"/>
      <c r="R80" s="462" t="n"/>
      <c r="S80" s="462" t="n"/>
      <c r="T80" s="462" t="n"/>
      <c r="U80" s="462" t="n"/>
      <c r="V80" s="462" t="n"/>
      <c r="W80" s="462" t="n"/>
      <c r="X80" s="462" t="n"/>
      <c r="Y80" s="462" t="n"/>
      <c r="Z80" s="462" t="n"/>
    </row>
    <row r="81" ht="6" customHeight="1" s="477">
      <c r="A81" s="69" t="n"/>
      <c r="B81" s="72" t="n"/>
      <c r="C81" s="73" t="n"/>
      <c r="D81" s="69" t="n"/>
      <c r="E81" s="69" t="n"/>
      <c r="F81" s="69" t="n"/>
      <c r="G81" s="462" t="n"/>
      <c r="H81" s="462" t="n"/>
      <c r="I81" s="462" t="n"/>
      <c r="J81" s="462" t="n"/>
      <c r="K81" s="462" t="n"/>
      <c r="L81" s="462" t="n"/>
      <c r="M81" s="462" t="n"/>
      <c r="N81" s="462" t="n"/>
      <c r="O81" s="462" t="n"/>
      <c r="P81" s="462" t="n"/>
      <c r="Q81" s="462" t="n"/>
      <c r="R81" s="462" t="n"/>
      <c r="S81" s="462" t="n"/>
      <c r="T81" s="462" t="n"/>
      <c r="U81" s="462" t="n"/>
      <c r="V81" s="462" t="n"/>
      <c r="W81" s="462" t="n"/>
      <c r="X81" s="462" t="n"/>
      <c r="Y81" s="462" t="n"/>
      <c r="Z81" s="462" t="n"/>
    </row>
    <row r="82" ht="25.5" customHeight="1" s="477">
      <c r="A82" s="69" t="n"/>
      <c r="B82" s="464" t="inlineStr">
        <is>
          <t>通帳の表紙/表紙裏面</t>
        </is>
      </c>
      <c r="C82" s="465" t="inlineStr">
        <is>
          <t>④補助金受取口座</t>
        </is>
      </c>
      <c r="D82" s="472" t="n"/>
      <c r="E82" s="73" t="n"/>
      <c r="F82" s="69" t="n"/>
    </row>
    <row r="83" ht="9" customHeight="1" s="477">
      <c r="A83" s="466" t="n"/>
      <c r="B83" s="467" t="n"/>
      <c r="C83" s="468" t="n"/>
      <c r="D83" s="466" t="n"/>
      <c r="E83" s="466" t="n"/>
      <c r="F83" s="466" t="n"/>
    </row>
    <row r="84">
      <c r="A84" s="123" t="n"/>
      <c r="B84" s="469" t="inlineStr">
        <is>
          <t>金融機関コード</t>
        </is>
      </c>
      <c r="C84" s="470" t="n"/>
      <c r="D84" s="471" t="n"/>
      <c r="E84" s="471" t="n"/>
      <c r="F84" s="123" t="n"/>
      <c r="G84" s="462" t="n"/>
      <c r="H84" s="462" t="n"/>
      <c r="I84" s="462" t="n"/>
      <c r="J84" s="462" t="n"/>
      <c r="K84" s="462" t="n"/>
      <c r="L84" s="462" t="n"/>
      <c r="M84" s="462" t="n"/>
      <c r="N84" s="462" t="n"/>
      <c r="O84" s="462" t="n"/>
      <c r="P84" s="462" t="n"/>
      <c r="Q84" s="462" t="n"/>
      <c r="R84" s="462" t="n"/>
      <c r="S84" s="462" t="n"/>
      <c r="T84" s="462" t="n"/>
      <c r="U84" s="462" t="n"/>
      <c r="V84" s="462" t="n"/>
      <c r="W84" s="462" t="n"/>
      <c r="X84" s="462" t="n"/>
      <c r="Y84" s="462" t="n"/>
      <c r="Z84" s="462" t="n"/>
    </row>
    <row r="85" ht="6" customHeight="1" s="477">
      <c r="A85" s="123" t="n"/>
      <c r="B85" s="258" t="n"/>
      <c r="C85" s="248" t="n"/>
      <c r="D85" s="123" t="n"/>
      <c r="E85" s="123" t="n"/>
      <c r="F85" s="123" t="n"/>
      <c r="G85" s="462" t="n"/>
      <c r="H85" s="462" t="n"/>
      <c r="I85" s="462" t="n"/>
      <c r="J85" s="462" t="n"/>
      <c r="K85" s="462" t="n"/>
      <c r="L85" s="462" t="n"/>
      <c r="M85" s="462" t="n"/>
      <c r="N85" s="462" t="n"/>
      <c r="O85" s="462" t="n"/>
      <c r="P85" s="462" t="n"/>
      <c r="Q85" s="462" t="n"/>
      <c r="R85" s="462" t="n"/>
      <c r="S85" s="462" t="n"/>
      <c r="T85" s="462" t="n"/>
      <c r="U85" s="462" t="n"/>
      <c r="V85" s="462" t="n"/>
      <c r="W85" s="462" t="n"/>
      <c r="X85" s="462" t="n"/>
      <c r="Y85" s="462" t="n"/>
      <c r="Z85" s="462" t="n"/>
    </row>
    <row r="86">
      <c r="A86" s="123" t="n"/>
      <c r="B86" s="469" t="inlineStr">
        <is>
          <t>金融機関名</t>
        </is>
      </c>
      <c r="C86" s="470" t="n"/>
      <c r="D86" s="471" t="n"/>
      <c r="E86" s="471" t="n"/>
      <c r="F86" s="123" t="n"/>
      <c r="G86" s="462" t="n"/>
      <c r="H86" s="462" t="n"/>
      <c r="I86" s="462" t="n"/>
      <c r="J86" s="462" t="n"/>
      <c r="K86" s="462" t="n"/>
      <c r="L86" s="462" t="n"/>
      <c r="M86" s="462" t="n"/>
      <c r="N86" s="462" t="n"/>
      <c r="O86" s="462" t="n"/>
      <c r="P86" s="462" t="n"/>
      <c r="Q86" s="462" t="n"/>
      <c r="R86" s="462" t="n"/>
      <c r="S86" s="462" t="n"/>
      <c r="T86" s="462" t="n"/>
      <c r="U86" s="462" t="n"/>
      <c r="V86" s="462" t="n"/>
      <c r="W86" s="462" t="n"/>
      <c r="X86" s="462" t="n"/>
      <c r="Y86" s="462" t="n"/>
      <c r="Z86" s="462" t="n"/>
    </row>
    <row r="87" ht="6" customHeight="1" s="477">
      <c r="A87" s="123" t="n"/>
      <c r="B87" s="258" t="n"/>
      <c r="C87" s="248" t="n"/>
      <c r="D87" s="123" t="n"/>
      <c r="E87" s="123" t="n"/>
      <c r="F87" s="123" t="n"/>
      <c r="G87" s="462" t="n"/>
      <c r="H87" s="462" t="n"/>
      <c r="I87" s="462" t="n"/>
      <c r="J87" s="462" t="n"/>
      <c r="K87" s="462" t="n"/>
      <c r="L87" s="462" t="n"/>
      <c r="M87" s="462" t="n"/>
      <c r="N87" s="462" t="n"/>
      <c r="O87" s="462" t="n"/>
      <c r="P87" s="462" t="n"/>
      <c r="Q87" s="462" t="n"/>
      <c r="R87" s="462" t="n"/>
      <c r="S87" s="462" t="n"/>
      <c r="T87" s="462" t="n"/>
      <c r="U87" s="462" t="n"/>
      <c r="V87" s="462" t="n"/>
      <c r="W87" s="462" t="n"/>
      <c r="X87" s="462" t="n"/>
      <c r="Y87" s="462" t="n"/>
      <c r="Z87" s="462" t="n"/>
    </row>
    <row r="88">
      <c r="A88" s="123" t="n"/>
      <c r="B88" s="469" t="inlineStr">
        <is>
          <t>支店コード</t>
        </is>
      </c>
      <c r="C88" s="470" t="n"/>
      <c r="D88" s="471" t="n"/>
      <c r="E88" s="471" t="n"/>
      <c r="F88" s="123" t="n"/>
      <c r="G88" s="462" t="n"/>
      <c r="H88" s="462" t="n"/>
      <c r="I88" s="462" t="n"/>
      <c r="J88" s="462" t="n"/>
      <c r="K88" s="462" t="n"/>
      <c r="L88" s="462" t="n"/>
      <c r="M88" s="462" t="n"/>
      <c r="N88" s="462" t="n"/>
      <c r="O88" s="462" t="n"/>
      <c r="P88" s="462" t="n"/>
      <c r="Q88" s="462" t="n"/>
      <c r="R88" s="462" t="n"/>
      <c r="S88" s="462" t="n"/>
      <c r="T88" s="462" t="n"/>
      <c r="U88" s="462" t="n"/>
      <c r="V88" s="462" t="n"/>
      <c r="W88" s="462" t="n"/>
      <c r="X88" s="462" t="n"/>
      <c r="Y88" s="462" t="n"/>
      <c r="Z88" s="462" t="n"/>
    </row>
    <row r="89" ht="6" customHeight="1" s="477">
      <c r="A89" s="123" t="n"/>
      <c r="B89" s="258" t="n"/>
      <c r="C89" s="248" t="n"/>
      <c r="D89" s="123" t="n"/>
      <c r="E89" s="123" t="n"/>
      <c r="F89" s="123" t="n"/>
      <c r="G89" s="462" t="n"/>
      <c r="H89" s="462" t="n"/>
      <c r="I89" s="462" t="n"/>
      <c r="J89" s="462" t="n"/>
      <c r="K89" s="462" t="n"/>
      <c r="L89" s="462" t="n"/>
      <c r="M89" s="462" t="n"/>
      <c r="N89" s="462" t="n"/>
      <c r="O89" s="462" t="n"/>
      <c r="P89" s="462" t="n"/>
      <c r="Q89" s="462" t="n"/>
      <c r="R89" s="462" t="n"/>
      <c r="S89" s="462" t="n"/>
      <c r="T89" s="462" t="n"/>
      <c r="U89" s="462" t="n"/>
      <c r="V89" s="462" t="n"/>
      <c r="W89" s="462" t="n"/>
      <c r="X89" s="462" t="n"/>
      <c r="Y89" s="462" t="n"/>
      <c r="Z89" s="462" t="n"/>
    </row>
    <row r="90">
      <c r="A90" s="123" t="n"/>
      <c r="B90" s="469" t="inlineStr">
        <is>
          <t>支店名</t>
        </is>
      </c>
      <c r="C90" s="470" t="n"/>
      <c r="D90" s="471" t="n"/>
      <c r="E90" s="471" t="n"/>
      <c r="F90" s="123" t="n"/>
      <c r="G90" s="462" t="n"/>
      <c r="H90" s="462" t="n"/>
      <c r="I90" s="462" t="n"/>
      <c r="J90" s="462" t="n"/>
      <c r="K90" s="462" t="n"/>
      <c r="L90" s="462" t="n"/>
      <c r="M90" s="462" t="n"/>
      <c r="N90" s="462" t="n"/>
      <c r="O90" s="462" t="n"/>
      <c r="P90" s="462" t="n"/>
      <c r="Q90" s="462" t="n"/>
      <c r="R90" s="462" t="n"/>
      <c r="S90" s="462" t="n"/>
      <c r="T90" s="462" t="n"/>
      <c r="U90" s="462" t="n"/>
      <c r="V90" s="462" t="n"/>
      <c r="W90" s="462" t="n"/>
      <c r="X90" s="462" t="n"/>
      <c r="Y90" s="462" t="n"/>
      <c r="Z90" s="462" t="n"/>
    </row>
    <row r="91" ht="6" customHeight="1" s="477">
      <c r="A91" s="123" t="n"/>
      <c r="B91" s="258" t="n"/>
      <c r="C91" s="248" t="n"/>
      <c r="D91" s="123" t="n"/>
      <c r="E91" s="123" t="n"/>
      <c r="F91" s="123" t="n"/>
      <c r="G91" s="462" t="n"/>
      <c r="H91" s="462" t="n"/>
      <c r="I91" s="462" t="n"/>
      <c r="J91" s="462" t="n"/>
      <c r="K91" s="462" t="n"/>
      <c r="L91" s="462" t="n"/>
      <c r="M91" s="462" t="n"/>
      <c r="N91" s="462" t="n"/>
      <c r="O91" s="462" t="n"/>
      <c r="P91" s="462" t="n"/>
      <c r="Q91" s="462" t="n"/>
      <c r="R91" s="462" t="n"/>
      <c r="S91" s="462" t="n"/>
      <c r="T91" s="462" t="n"/>
      <c r="U91" s="462" t="n"/>
      <c r="V91" s="462" t="n"/>
      <c r="W91" s="462" t="n"/>
      <c r="X91" s="462" t="n"/>
      <c r="Y91" s="462" t="n"/>
      <c r="Z91" s="462" t="n"/>
    </row>
    <row r="92" ht="25.5" customHeight="1" s="477">
      <c r="A92" s="69" t="n"/>
      <c r="B92" s="464" t="n"/>
      <c r="C92" s="465" t="inlineStr">
        <is>
          <t>検索</t>
        </is>
      </c>
      <c r="D92" s="472" t="n"/>
      <c r="E92" s="73" t="inlineStr">
        <is>
          <t>⇨「検索」より</t>
        </is>
      </c>
      <c r="F92" s="69" t="n"/>
    </row>
    <row r="93" ht="6" customHeight="1" s="477">
      <c r="A93" s="123" t="n"/>
      <c r="B93" s="258" t="n"/>
      <c r="C93" s="248" t="n"/>
      <c r="D93" s="123" t="n"/>
      <c r="E93" s="123" t="n"/>
      <c r="F93" s="123" t="n"/>
      <c r="G93" s="462" t="n"/>
      <c r="H93" s="462" t="n"/>
      <c r="I93" s="462" t="n"/>
      <c r="J93" s="462" t="n"/>
      <c r="K93" s="462" t="n"/>
      <c r="L93" s="462" t="n"/>
      <c r="M93" s="462" t="n"/>
      <c r="N93" s="462" t="n"/>
      <c r="O93" s="462" t="n"/>
      <c r="P93" s="462" t="n"/>
      <c r="Q93" s="462" t="n"/>
      <c r="R93" s="462" t="n"/>
      <c r="S93" s="462" t="n"/>
      <c r="T93" s="462" t="n"/>
      <c r="U93" s="462" t="n"/>
      <c r="V93" s="462" t="n"/>
      <c r="W93" s="462" t="n"/>
      <c r="X93" s="462" t="n"/>
      <c r="Y93" s="462" t="n"/>
      <c r="Z93" s="462" t="n"/>
    </row>
    <row r="94">
      <c r="A94" s="123" t="n"/>
      <c r="B94" s="469" t="n"/>
      <c r="C94" s="469" t="inlineStr">
        <is>
          <t>🔹金融機関名（最初の１文字以上/カタカナ）</t>
        </is>
      </c>
      <c r="D94" s="473" t="n"/>
      <c r="E94" s="473" t="n"/>
      <c r="F94" s="123" t="n"/>
      <c r="G94" s="462" t="n"/>
      <c r="H94" s="462" t="n"/>
      <c r="I94" s="462" t="n"/>
      <c r="J94" s="462" t="n"/>
      <c r="K94" s="462" t="n"/>
      <c r="L94" s="462" t="n"/>
      <c r="M94" s="462" t="n"/>
      <c r="N94" s="462" t="n"/>
      <c r="O94" s="462" t="n"/>
      <c r="P94" s="462" t="n"/>
      <c r="Q94" s="462" t="n"/>
      <c r="R94" s="462" t="n"/>
      <c r="S94" s="462" t="n"/>
      <c r="T94" s="462" t="n"/>
      <c r="U94" s="462" t="n"/>
      <c r="V94" s="462" t="n"/>
      <c r="W94" s="462" t="n"/>
      <c r="X94" s="462" t="n"/>
      <c r="Y94" s="462" t="n"/>
      <c r="Z94" s="462" t="n"/>
    </row>
    <row r="95" ht="6" customHeight="1" s="477">
      <c r="A95" s="123" t="n"/>
      <c r="B95" s="258" t="n"/>
      <c r="C95" s="248" t="n"/>
      <c r="D95" s="123" t="n"/>
      <c r="E95" s="123" t="n"/>
      <c r="F95" s="123" t="n"/>
      <c r="G95" s="462" t="n"/>
      <c r="H95" s="462" t="n"/>
      <c r="I95" s="462" t="n"/>
      <c r="J95" s="462" t="n"/>
      <c r="K95" s="462" t="n"/>
      <c r="L95" s="462" t="n"/>
      <c r="M95" s="462" t="n"/>
      <c r="N95" s="462" t="n"/>
      <c r="O95" s="462" t="n"/>
      <c r="P95" s="462" t="n"/>
      <c r="Q95" s="462" t="n"/>
      <c r="R95" s="462" t="n"/>
      <c r="S95" s="462" t="n"/>
      <c r="T95" s="462" t="n"/>
      <c r="U95" s="462" t="n"/>
      <c r="V95" s="462" t="n"/>
      <c r="W95" s="462" t="n"/>
      <c r="X95" s="462" t="n"/>
      <c r="Y95" s="462" t="n"/>
      <c r="Z95" s="462" t="n"/>
    </row>
    <row r="96">
      <c r="A96" s="123" t="n"/>
      <c r="B96" s="469" t="n"/>
      <c r="C96" s="469" t="inlineStr">
        <is>
          <t>🔹支店コード（半角3桁）</t>
        </is>
      </c>
      <c r="D96" s="473" t="n"/>
      <c r="E96" s="473" t="n"/>
      <c r="F96" s="123" t="n"/>
      <c r="G96" s="462" t="n"/>
      <c r="H96" s="462" t="n"/>
      <c r="I96" s="462" t="n"/>
      <c r="J96" s="462" t="n"/>
      <c r="K96" s="462" t="n"/>
      <c r="L96" s="462" t="n"/>
      <c r="M96" s="462" t="n"/>
      <c r="N96" s="462" t="n"/>
      <c r="O96" s="462" t="n"/>
      <c r="P96" s="462" t="n"/>
      <c r="Q96" s="462" t="n"/>
      <c r="R96" s="462" t="n"/>
      <c r="S96" s="462" t="n"/>
      <c r="T96" s="462" t="n"/>
      <c r="U96" s="462" t="n"/>
      <c r="V96" s="462" t="n"/>
      <c r="W96" s="462" t="n"/>
      <c r="X96" s="462" t="n"/>
      <c r="Y96" s="462" t="n"/>
      <c r="Z96" s="462" t="n"/>
    </row>
    <row r="97" ht="6" customHeight="1" s="477">
      <c r="A97" s="123" t="n"/>
      <c r="B97" s="258" t="n"/>
      <c r="C97" s="248" t="n"/>
      <c r="D97" s="123" t="n"/>
      <c r="E97" s="123" t="n"/>
      <c r="F97" s="123" t="n"/>
      <c r="G97" s="462" t="n"/>
      <c r="H97" s="462" t="n"/>
      <c r="I97" s="462" t="n"/>
      <c r="J97" s="462" t="n"/>
      <c r="K97" s="462" t="n"/>
      <c r="L97" s="462" t="n"/>
      <c r="M97" s="462" t="n"/>
      <c r="N97" s="462" t="n"/>
      <c r="O97" s="462" t="n"/>
      <c r="P97" s="462" t="n"/>
      <c r="Q97" s="462" t="n"/>
      <c r="R97" s="462" t="n"/>
      <c r="S97" s="462" t="n"/>
      <c r="T97" s="462" t="n"/>
      <c r="U97" s="462" t="n"/>
      <c r="V97" s="462" t="n"/>
      <c r="W97" s="462" t="n"/>
      <c r="X97" s="462" t="n"/>
      <c r="Y97" s="462" t="n"/>
      <c r="Z97" s="462" t="n"/>
    </row>
    <row r="98">
      <c r="A98" s="69" t="n"/>
      <c r="B98" s="72" t="n"/>
      <c r="C98" s="73" t="n"/>
      <c r="D98" s="69" t="n"/>
      <c r="E98" s="69" t="n"/>
      <c r="F98" s="69" t="n"/>
      <c r="G98" s="123" t="n"/>
      <c r="H98" s="462" t="n"/>
      <c r="I98" s="462" t="n"/>
      <c r="J98" s="462" t="n"/>
      <c r="K98" s="462" t="n"/>
      <c r="L98" s="462" t="n"/>
      <c r="M98" s="462" t="n"/>
      <c r="N98" s="462" t="n"/>
      <c r="O98" s="462" t="n"/>
      <c r="P98" s="462" t="n"/>
      <c r="Q98" s="462" t="n"/>
      <c r="R98" s="462" t="n"/>
      <c r="S98" s="462" t="n"/>
      <c r="T98" s="462" t="n"/>
      <c r="U98" s="462" t="n"/>
      <c r="V98" s="462" t="n"/>
      <c r="W98" s="462" t="n"/>
      <c r="X98" s="462" t="n"/>
      <c r="Y98" s="462" t="n"/>
      <c r="Z98" s="462" t="n"/>
    </row>
    <row r="99">
      <c r="A99" s="123" t="n"/>
      <c r="B99" s="469" t="inlineStr">
        <is>
          <t>口座種別</t>
        </is>
      </c>
      <c r="C99" s="473" t="n"/>
      <c r="D99" s="471" t="n"/>
      <c r="E99" s="471" t="n"/>
      <c r="F99" s="123" t="n"/>
      <c r="G99" s="462" t="n"/>
      <c r="H99" s="462" t="n"/>
      <c r="I99" s="462" t="n"/>
      <c r="J99" s="462" t="n"/>
      <c r="K99" s="462" t="n"/>
      <c r="L99" s="462" t="n"/>
      <c r="M99" s="462" t="n"/>
      <c r="N99" s="462" t="n"/>
      <c r="O99" s="462" t="n"/>
      <c r="P99" s="462" t="n"/>
      <c r="Q99" s="462" t="n"/>
      <c r="R99" s="462" t="n"/>
      <c r="S99" s="462" t="n"/>
      <c r="T99" s="462" t="n"/>
      <c r="U99" s="462" t="n"/>
      <c r="V99" s="462" t="n"/>
      <c r="W99" s="462" t="n"/>
      <c r="X99" s="462" t="n"/>
      <c r="Y99" s="462" t="n"/>
      <c r="Z99" s="462" t="n"/>
    </row>
    <row r="100" ht="6" customHeight="1" s="477">
      <c r="A100" s="123" t="n"/>
      <c r="B100" s="258" t="n"/>
      <c r="C100" s="248" t="n"/>
      <c r="D100" s="123" t="n"/>
      <c r="E100" s="123" t="n"/>
      <c r="F100" s="123" t="n"/>
      <c r="G100" s="462" t="n"/>
      <c r="H100" s="462" t="n"/>
      <c r="I100" s="462" t="n"/>
      <c r="J100" s="462" t="n"/>
      <c r="K100" s="462" t="n"/>
      <c r="L100" s="462" t="n"/>
      <c r="M100" s="462" t="n"/>
      <c r="N100" s="462" t="n"/>
      <c r="O100" s="462" t="n"/>
      <c r="P100" s="462" t="n"/>
      <c r="Q100" s="462" t="n"/>
      <c r="R100" s="462" t="n"/>
      <c r="S100" s="462" t="n"/>
      <c r="T100" s="462" t="n"/>
      <c r="U100" s="462" t="n"/>
      <c r="V100" s="462" t="n"/>
      <c r="W100" s="462" t="n"/>
      <c r="X100" s="462" t="n"/>
      <c r="Y100" s="462" t="n"/>
      <c r="Z100" s="462" t="n"/>
    </row>
    <row r="101">
      <c r="A101" s="123" t="n"/>
      <c r="B101" s="469" t="inlineStr">
        <is>
          <t>口座名義（半角カナ）</t>
        </is>
      </c>
      <c r="C101" s="473" t="n"/>
      <c r="D101" s="471" t="n"/>
      <c r="E101" s="471" t="n"/>
      <c r="F101" s="123" t="n"/>
      <c r="G101" s="462" t="n"/>
      <c r="H101" s="462" t="n"/>
      <c r="I101" s="462" t="n"/>
      <c r="J101" s="462" t="n"/>
      <c r="K101" s="462" t="n"/>
      <c r="L101" s="462" t="n"/>
      <c r="M101" s="462" t="n"/>
      <c r="N101" s="462" t="n"/>
      <c r="O101" s="462" t="n"/>
      <c r="P101" s="462" t="n"/>
      <c r="Q101" s="462" t="n"/>
      <c r="R101" s="462" t="n"/>
      <c r="S101" s="462" t="n"/>
      <c r="T101" s="462" t="n"/>
      <c r="U101" s="462" t="n"/>
      <c r="V101" s="462" t="n"/>
      <c r="W101" s="462" t="n"/>
      <c r="X101" s="462" t="n"/>
      <c r="Y101" s="462" t="n"/>
      <c r="Z101" s="462" t="n"/>
    </row>
    <row r="102" ht="6" customHeight="1" s="477">
      <c r="A102" s="123" t="n"/>
      <c r="B102" s="258" t="n"/>
      <c r="C102" s="248" t="n"/>
      <c r="D102" s="123" t="n"/>
      <c r="E102" s="123" t="n"/>
      <c r="F102" s="123" t="n"/>
      <c r="G102" s="462" t="n"/>
      <c r="H102" s="462" t="n"/>
      <c r="I102" s="462" t="n"/>
      <c r="J102" s="462" t="n"/>
      <c r="K102" s="462" t="n"/>
      <c r="L102" s="462" t="n"/>
      <c r="M102" s="462" t="n"/>
      <c r="N102" s="462" t="n"/>
      <c r="O102" s="462" t="n"/>
      <c r="P102" s="462" t="n"/>
      <c r="Q102" s="462" t="n"/>
      <c r="R102" s="462" t="n"/>
      <c r="S102" s="462" t="n"/>
      <c r="T102" s="462" t="n"/>
      <c r="U102" s="462" t="n"/>
      <c r="V102" s="462" t="n"/>
      <c r="W102" s="462" t="n"/>
      <c r="X102" s="462" t="n"/>
      <c r="Y102" s="462" t="n"/>
      <c r="Z102" s="462" t="n"/>
    </row>
    <row r="103">
      <c r="A103" s="123" t="n"/>
      <c r="B103" s="469" t="inlineStr">
        <is>
          <t>口座番号</t>
        </is>
      </c>
      <c r="C103" s="473" t="n"/>
      <c r="D103" s="471" t="n"/>
      <c r="E103" s="471" t="n"/>
      <c r="F103" s="123" t="n"/>
      <c r="G103" s="462" t="n"/>
      <c r="H103" s="462" t="n"/>
      <c r="I103" s="462" t="n"/>
      <c r="J103" s="462" t="n"/>
      <c r="K103" s="462" t="n"/>
      <c r="L103" s="462" t="n"/>
      <c r="M103" s="462" t="n"/>
      <c r="N103" s="462" t="n"/>
      <c r="O103" s="462" t="n"/>
      <c r="P103" s="462" t="n"/>
      <c r="Q103" s="462" t="n"/>
      <c r="R103" s="462" t="n"/>
      <c r="S103" s="462" t="n"/>
      <c r="T103" s="462" t="n"/>
      <c r="U103" s="462" t="n"/>
      <c r="V103" s="462" t="n"/>
      <c r="W103" s="462" t="n"/>
      <c r="X103" s="462" t="n"/>
      <c r="Y103" s="462" t="n"/>
      <c r="Z103" s="462" t="n"/>
    </row>
    <row r="104" ht="6" customHeight="1" s="477">
      <c r="A104" s="123" t="n"/>
      <c r="B104" s="258" t="n"/>
      <c r="C104" s="248" t="n"/>
      <c r="D104" s="123" t="n"/>
      <c r="E104" s="123" t="n"/>
      <c r="F104" s="123" t="n"/>
      <c r="G104" s="462" t="n"/>
      <c r="H104" s="462" t="n"/>
      <c r="I104" s="462" t="n"/>
      <c r="J104" s="462" t="n"/>
      <c r="K104" s="462" t="n"/>
      <c r="L104" s="462" t="n"/>
      <c r="M104" s="462" t="n"/>
      <c r="N104" s="462" t="n"/>
      <c r="O104" s="462" t="n"/>
      <c r="P104" s="462" t="n"/>
      <c r="Q104" s="462" t="n"/>
      <c r="R104" s="462" t="n"/>
      <c r="S104" s="462" t="n"/>
      <c r="T104" s="462" t="n"/>
      <c r="U104" s="462" t="n"/>
      <c r="V104" s="462" t="n"/>
      <c r="W104" s="462" t="n"/>
      <c r="X104" s="462" t="n"/>
      <c r="Y104" s="462" t="n"/>
      <c r="Z104" s="462" t="n"/>
    </row>
    <row r="105" ht="9" customHeight="1" s="477">
      <c r="A105" s="69" t="n"/>
      <c r="B105" s="72" t="n"/>
      <c r="C105" s="73" t="n"/>
      <c r="D105" s="69" t="n"/>
      <c r="E105" s="69" t="n"/>
      <c r="F105" s="69" t="n"/>
    </row>
    <row r="106" ht="25.5" customHeight="1" s="477">
      <c r="A106" s="69" t="n"/>
      <c r="B106" s="141" t="inlineStr">
        <is>
          <t>『  次へ  』</t>
        </is>
      </c>
      <c r="C106" s="142" t="inlineStr">
        <is>
          <t>をクリック</t>
        </is>
      </c>
      <c r="D106" s="73" t="n"/>
      <c r="E106" s="73" t="n"/>
      <c r="F106" s="69" t="n"/>
    </row>
    <row r="107">
      <c r="A107" s="69" t="n"/>
      <c r="B107" s="72" t="n"/>
      <c r="C107" s="73" t="n"/>
      <c r="D107" s="69" t="n"/>
      <c r="E107" s="69" t="n"/>
      <c r="F107" s="69" t="n"/>
      <c r="G107" s="462" t="n"/>
      <c r="H107" s="462" t="n"/>
      <c r="I107" s="462" t="n"/>
      <c r="J107" s="462" t="n"/>
      <c r="K107" s="462" t="n"/>
      <c r="L107" s="462" t="n"/>
      <c r="M107" s="462" t="n"/>
      <c r="N107" s="462" t="n"/>
      <c r="O107" s="462" t="n"/>
      <c r="P107" s="462" t="n"/>
      <c r="Q107" s="462" t="n"/>
      <c r="R107" s="462" t="n"/>
      <c r="S107" s="462" t="n"/>
      <c r="T107" s="462" t="n"/>
      <c r="U107" s="462" t="n"/>
      <c r="V107" s="462" t="n"/>
      <c r="W107" s="462" t="n"/>
      <c r="X107" s="462" t="n"/>
      <c r="Y107" s="462" t="n"/>
      <c r="Z107" s="462" t="n"/>
    </row>
    <row r="108">
      <c r="A108" s="69" t="n"/>
      <c r="B108" s="497" t="inlineStr">
        <is>
          <t>補助事業者入力確認</t>
        </is>
      </c>
      <c r="F108" s="69" t="n"/>
      <c r="G108" s="462" t="n"/>
      <c r="H108" s="462" t="n"/>
      <c r="I108" s="462" t="n"/>
      <c r="J108" s="462" t="n"/>
      <c r="K108" s="462" t="n"/>
      <c r="L108" s="462" t="n"/>
      <c r="M108" s="462" t="n"/>
      <c r="N108" s="462" t="n"/>
      <c r="O108" s="462" t="n"/>
      <c r="P108" s="462" t="n"/>
      <c r="Q108" s="462" t="n"/>
      <c r="R108" s="462" t="n"/>
      <c r="S108" s="462" t="n"/>
      <c r="T108" s="462" t="n"/>
      <c r="U108" s="462" t="n"/>
      <c r="V108" s="462" t="n"/>
      <c r="W108" s="462" t="n"/>
      <c r="X108" s="462" t="n"/>
      <c r="Y108" s="462" t="n"/>
      <c r="Z108" s="462" t="n"/>
    </row>
    <row r="109" ht="6" customHeight="1" s="477">
      <c r="A109" s="69" t="n"/>
      <c r="B109" s="72" t="n"/>
      <c r="C109" s="73" t="n"/>
      <c r="D109" s="69" t="n"/>
      <c r="E109" s="69" t="n"/>
      <c r="F109" s="69" t="n"/>
      <c r="G109" s="462" t="n"/>
      <c r="H109" s="462" t="n"/>
      <c r="I109" s="462" t="n"/>
      <c r="J109" s="462" t="n"/>
      <c r="K109" s="462" t="n"/>
      <c r="L109" s="462" t="n"/>
      <c r="M109" s="462" t="n"/>
      <c r="N109" s="462" t="n"/>
      <c r="O109" s="462" t="n"/>
      <c r="P109" s="462" t="n"/>
      <c r="Q109" s="462" t="n"/>
      <c r="R109" s="462" t="n"/>
      <c r="S109" s="462" t="n"/>
      <c r="T109" s="462" t="n"/>
      <c r="U109" s="462" t="n"/>
      <c r="V109" s="462" t="n"/>
      <c r="W109" s="462" t="n"/>
      <c r="X109" s="462" t="n"/>
      <c r="Y109" s="462" t="n"/>
      <c r="Z109" s="462" t="n"/>
    </row>
    <row r="110" ht="25.5" customHeight="1" s="477">
      <c r="A110" s="69" t="n"/>
      <c r="B110" s="141" t="inlineStr">
        <is>
          <t>『  実績報告入力完了』</t>
        </is>
      </c>
      <c r="C110" s="142" t="inlineStr">
        <is>
          <t>をクリック⇨『IT導入支援事業者に引き継がれました』と表示</t>
        </is>
      </c>
      <c r="F110" s="69" t="n"/>
    </row>
    <row r="111">
      <c r="A111" s="69" t="n"/>
      <c r="B111" s="72" t="n"/>
      <c r="C111" s="73" t="n"/>
      <c r="D111" s="69" t="n"/>
      <c r="E111" s="69" t="n"/>
      <c r="F111" s="69" t="n"/>
      <c r="G111" s="123" t="n"/>
      <c r="H111" s="462" t="n"/>
      <c r="I111" s="462" t="n"/>
      <c r="J111" s="462" t="n"/>
      <c r="K111" s="462" t="n"/>
      <c r="L111" s="462" t="n"/>
      <c r="M111" s="462" t="n"/>
      <c r="N111" s="462" t="n"/>
      <c r="O111" s="462" t="n"/>
      <c r="P111" s="462" t="n"/>
      <c r="Q111" s="462" t="n"/>
      <c r="R111" s="462" t="n"/>
      <c r="S111" s="462" t="n"/>
      <c r="T111" s="462" t="n"/>
      <c r="U111" s="462" t="n"/>
      <c r="V111" s="462" t="n"/>
      <c r="W111" s="462" t="n"/>
      <c r="X111" s="462" t="n"/>
      <c r="Y111" s="462" t="n"/>
      <c r="Z111" s="462" t="n"/>
    </row>
    <row r="112">
      <c r="A112" s="69" t="n"/>
      <c r="B112" s="72" t="n"/>
      <c r="C112" s="73" t="n"/>
      <c r="D112" s="69" t="n"/>
      <c r="E112" s="69" t="n"/>
      <c r="F112" s="69" t="n"/>
      <c r="G112" s="123" t="n"/>
      <c r="H112" s="462" t="n"/>
      <c r="I112" s="462" t="n"/>
      <c r="J112" s="462" t="n"/>
      <c r="K112" s="462" t="n"/>
      <c r="L112" s="462" t="n"/>
      <c r="M112" s="462" t="n"/>
      <c r="N112" s="462" t="n"/>
      <c r="O112" s="462" t="n"/>
      <c r="P112" s="462" t="n"/>
      <c r="Q112" s="462" t="n"/>
      <c r="R112" s="462" t="n"/>
      <c r="S112" s="462" t="n"/>
      <c r="T112" s="462" t="n"/>
      <c r="U112" s="462" t="n"/>
      <c r="V112" s="462" t="n"/>
      <c r="W112" s="462" t="n"/>
      <c r="X112" s="462" t="n"/>
      <c r="Y112" s="462" t="n"/>
      <c r="Z112" s="462" t="n"/>
    </row>
    <row r="113">
      <c r="A113" s="69" t="n"/>
      <c r="B113" s="72" t="n"/>
      <c r="C113" s="73" t="n"/>
      <c r="D113" s="69" t="n"/>
      <c r="E113" s="69" t="n"/>
      <c r="F113" s="69" t="n"/>
      <c r="G113" s="123" t="n"/>
      <c r="H113" s="462" t="n"/>
      <c r="I113" s="462" t="n"/>
      <c r="J113" s="462" t="n"/>
      <c r="K113" s="462" t="n"/>
      <c r="L113" s="462" t="n"/>
      <c r="M113" s="462" t="n"/>
      <c r="N113" s="462" t="n"/>
      <c r="O113" s="462" t="n"/>
      <c r="P113" s="462" t="n"/>
      <c r="Q113" s="462" t="n"/>
      <c r="R113" s="462" t="n"/>
      <c r="S113" s="462" t="n"/>
      <c r="T113" s="462" t="n"/>
      <c r="U113" s="462" t="n"/>
      <c r="V113" s="462" t="n"/>
      <c r="W113" s="462" t="n"/>
      <c r="X113" s="462" t="n"/>
      <c r="Y113" s="462" t="n"/>
      <c r="Z113" s="462" t="n"/>
    </row>
    <row r="114">
      <c r="A114" s="69" t="n"/>
      <c r="B114" s="72" t="n"/>
      <c r="C114" s="73" t="n"/>
      <c r="D114" s="69" t="n"/>
      <c r="E114" s="69" t="n"/>
      <c r="F114" s="69" t="n"/>
      <c r="G114" s="123" t="n"/>
      <c r="H114" s="462" t="n"/>
      <c r="I114" s="462" t="n"/>
      <c r="J114" s="462" t="n"/>
      <c r="K114" s="462" t="n"/>
      <c r="L114" s="462" t="n"/>
      <c r="M114" s="462" t="n"/>
      <c r="N114" s="462" t="n"/>
      <c r="O114" s="462" t="n"/>
      <c r="P114" s="462" t="n"/>
      <c r="Q114" s="462" t="n"/>
      <c r="R114" s="462" t="n"/>
      <c r="S114" s="462" t="n"/>
      <c r="T114" s="462" t="n"/>
      <c r="U114" s="462" t="n"/>
      <c r="V114" s="462" t="n"/>
      <c r="W114" s="462" t="n"/>
      <c r="X114" s="462" t="n"/>
      <c r="Y114" s="462" t="n"/>
      <c r="Z114" s="462" t="n"/>
    </row>
    <row r="115">
      <c r="A115" s="69" t="n"/>
      <c r="B115" s="72" t="n"/>
      <c r="C115" s="73" t="n"/>
      <c r="D115" s="69" t="n"/>
      <c r="E115" s="69" t="n"/>
      <c r="F115" s="69" t="n"/>
      <c r="G115" s="123" t="n"/>
      <c r="H115" s="462" t="n"/>
      <c r="I115" s="462" t="n"/>
      <c r="J115" s="462" t="n"/>
      <c r="K115" s="462" t="n"/>
      <c r="L115" s="462" t="n"/>
      <c r="M115" s="462" t="n"/>
      <c r="N115" s="462" t="n"/>
      <c r="O115" s="462" t="n"/>
      <c r="P115" s="462" t="n"/>
      <c r="Q115" s="462" t="n"/>
      <c r="R115" s="462" t="n"/>
      <c r="S115" s="462" t="n"/>
      <c r="T115" s="462" t="n"/>
      <c r="U115" s="462" t="n"/>
      <c r="V115" s="462" t="n"/>
      <c r="W115" s="462" t="n"/>
      <c r="X115" s="462" t="n"/>
      <c r="Y115" s="462" t="n"/>
      <c r="Z115" s="462" t="n"/>
    </row>
    <row r="116">
      <c r="A116" s="69" t="n"/>
      <c r="B116" s="72" t="n"/>
      <c r="C116" s="73" t="n"/>
      <c r="D116" s="69" t="n"/>
      <c r="E116" s="69" t="n"/>
      <c r="F116" s="69" t="n"/>
      <c r="G116" s="123" t="n"/>
      <c r="H116" s="462" t="n"/>
      <c r="I116" s="462" t="n"/>
      <c r="J116" s="462" t="n"/>
      <c r="K116" s="462" t="n"/>
      <c r="L116" s="462" t="n"/>
      <c r="M116" s="462" t="n"/>
      <c r="N116" s="462" t="n"/>
      <c r="O116" s="462" t="n"/>
      <c r="P116" s="462" t="n"/>
      <c r="Q116" s="462" t="n"/>
      <c r="R116" s="462" t="n"/>
      <c r="S116" s="462" t="n"/>
      <c r="T116" s="462" t="n"/>
      <c r="U116" s="462" t="n"/>
      <c r="V116" s="462" t="n"/>
      <c r="W116" s="462" t="n"/>
      <c r="X116" s="462" t="n"/>
      <c r="Y116" s="462" t="n"/>
      <c r="Z116" s="462" t="n"/>
    </row>
    <row r="117">
      <c r="A117" s="69" t="n"/>
      <c r="B117" s="72" t="n"/>
      <c r="C117" s="73" t="n"/>
      <c r="D117" s="69" t="n"/>
      <c r="E117" s="69" t="n"/>
      <c r="F117" s="69" t="n"/>
      <c r="G117" s="123" t="n"/>
      <c r="H117" s="462" t="n"/>
      <c r="I117" s="462" t="n"/>
      <c r="J117" s="462" t="n"/>
      <c r="K117" s="462" t="n"/>
      <c r="L117" s="462" t="n"/>
      <c r="M117" s="462" t="n"/>
      <c r="N117" s="462" t="n"/>
      <c r="O117" s="462" t="n"/>
      <c r="P117" s="462" t="n"/>
      <c r="Q117" s="462" t="n"/>
      <c r="R117" s="462" t="n"/>
      <c r="S117" s="462" t="n"/>
      <c r="T117" s="462" t="n"/>
      <c r="U117" s="462" t="n"/>
      <c r="V117" s="462" t="n"/>
      <c r="W117" s="462" t="n"/>
      <c r="X117" s="462" t="n"/>
      <c r="Y117" s="462" t="n"/>
      <c r="Z117" s="462" t="n"/>
    </row>
    <row r="118">
      <c r="A118" s="69" t="n"/>
      <c r="B118" s="72" t="n"/>
      <c r="C118" s="73" t="n"/>
      <c r="D118" s="69" t="n"/>
      <c r="E118" s="69" t="n"/>
      <c r="F118" s="69" t="n"/>
      <c r="G118" s="123" t="n"/>
      <c r="H118" s="462" t="n"/>
      <c r="I118" s="462" t="n"/>
      <c r="J118" s="462" t="n"/>
      <c r="K118" s="462" t="n"/>
      <c r="L118" s="462" t="n"/>
      <c r="M118" s="462" t="n"/>
      <c r="N118" s="462" t="n"/>
      <c r="O118" s="462" t="n"/>
      <c r="P118" s="462" t="n"/>
      <c r="Q118" s="462" t="n"/>
      <c r="R118" s="462" t="n"/>
      <c r="S118" s="462" t="n"/>
      <c r="T118" s="462" t="n"/>
      <c r="U118" s="462" t="n"/>
      <c r="V118" s="462" t="n"/>
      <c r="W118" s="462" t="n"/>
      <c r="X118" s="462" t="n"/>
      <c r="Y118" s="462" t="n"/>
      <c r="Z118" s="462" t="n"/>
    </row>
    <row r="119">
      <c r="A119" s="69" t="n"/>
      <c r="B119" s="72" t="n"/>
      <c r="C119" s="73" t="n"/>
      <c r="D119" s="69" t="n"/>
      <c r="E119" s="69" t="n"/>
      <c r="F119" s="69" t="n"/>
      <c r="G119" s="123" t="n"/>
      <c r="H119" s="462" t="n"/>
      <c r="I119" s="462" t="n"/>
      <c r="J119" s="462" t="n"/>
      <c r="K119" s="462" t="n"/>
      <c r="L119" s="462" t="n"/>
      <c r="M119" s="462" t="n"/>
      <c r="N119" s="462" t="n"/>
      <c r="O119" s="462" t="n"/>
      <c r="P119" s="462" t="n"/>
      <c r="Q119" s="462" t="n"/>
      <c r="R119" s="462" t="n"/>
      <c r="S119" s="462" t="n"/>
      <c r="T119" s="462" t="n"/>
      <c r="U119" s="462" t="n"/>
      <c r="V119" s="462" t="n"/>
      <c r="W119" s="462" t="n"/>
      <c r="X119" s="462" t="n"/>
      <c r="Y119" s="462" t="n"/>
      <c r="Z119" s="462" t="n"/>
    </row>
    <row r="120">
      <c r="A120" s="69" t="n"/>
      <c r="B120" s="72" t="n"/>
      <c r="C120" s="73" t="n"/>
      <c r="D120" s="69" t="n"/>
      <c r="E120" s="69" t="n"/>
      <c r="F120" s="69" t="n"/>
      <c r="G120" s="123" t="n"/>
      <c r="H120" s="462" t="n"/>
      <c r="I120" s="462" t="n"/>
      <c r="J120" s="462" t="n"/>
      <c r="K120" s="462" t="n"/>
      <c r="L120" s="462" t="n"/>
      <c r="M120" s="462" t="n"/>
      <c r="N120" s="462" t="n"/>
      <c r="O120" s="462" t="n"/>
      <c r="P120" s="462" t="n"/>
      <c r="Q120" s="462" t="n"/>
      <c r="R120" s="462" t="n"/>
      <c r="S120" s="462" t="n"/>
      <c r="T120" s="462" t="n"/>
      <c r="U120" s="462" t="n"/>
      <c r="V120" s="462" t="n"/>
      <c r="W120" s="462" t="n"/>
      <c r="X120" s="462" t="n"/>
      <c r="Y120" s="462" t="n"/>
      <c r="Z120" s="462" t="n"/>
    </row>
    <row r="121">
      <c r="A121" s="69" t="n"/>
      <c r="B121" s="72" t="n"/>
      <c r="C121" s="73" t="n"/>
      <c r="D121" s="69" t="n"/>
      <c r="E121" s="69" t="n"/>
      <c r="F121" s="69" t="n"/>
      <c r="G121" s="123" t="n"/>
      <c r="H121" s="462" t="n"/>
      <c r="I121" s="462" t="n"/>
      <c r="J121" s="462" t="n"/>
      <c r="K121" s="462" t="n"/>
      <c r="L121" s="462" t="n"/>
      <c r="M121" s="462" t="n"/>
      <c r="N121" s="462" t="n"/>
      <c r="O121" s="462" t="n"/>
      <c r="P121" s="462" t="n"/>
      <c r="Q121" s="462" t="n"/>
      <c r="R121" s="462" t="n"/>
      <c r="S121" s="462" t="n"/>
      <c r="T121" s="462" t="n"/>
      <c r="U121" s="462" t="n"/>
      <c r="V121" s="462" t="n"/>
      <c r="W121" s="462" t="n"/>
      <c r="X121" s="462" t="n"/>
      <c r="Y121" s="462" t="n"/>
      <c r="Z121" s="462" t="n"/>
    </row>
    <row r="122">
      <c r="A122" s="69" t="n"/>
      <c r="B122" s="72" t="n"/>
      <c r="C122" s="73" t="n"/>
      <c r="D122" s="69" t="n"/>
      <c r="E122" s="69" t="n"/>
      <c r="F122" s="69" t="n"/>
      <c r="G122" s="123" t="n"/>
      <c r="H122" s="462" t="n"/>
      <c r="I122" s="462" t="n"/>
      <c r="J122" s="462" t="n"/>
      <c r="K122" s="462" t="n"/>
      <c r="L122" s="462" t="n"/>
      <c r="M122" s="462" t="n"/>
      <c r="N122" s="462" t="n"/>
      <c r="O122" s="462" t="n"/>
      <c r="P122" s="462" t="n"/>
      <c r="Q122" s="462" t="n"/>
      <c r="R122" s="462" t="n"/>
      <c r="S122" s="462" t="n"/>
      <c r="T122" s="462" t="n"/>
      <c r="U122" s="462" t="n"/>
      <c r="V122" s="462" t="n"/>
      <c r="W122" s="462" t="n"/>
      <c r="X122" s="462" t="n"/>
      <c r="Y122" s="462" t="n"/>
      <c r="Z122" s="462" t="n"/>
    </row>
    <row r="123">
      <c r="A123" s="69" t="n"/>
      <c r="B123" s="72" t="n"/>
      <c r="C123" s="73" t="n"/>
      <c r="D123" s="69" t="n"/>
      <c r="E123" s="69" t="n"/>
      <c r="F123" s="69" t="n"/>
      <c r="G123" s="69" t="n"/>
      <c r="H123" s="462" t="n"/>
      <c r="I123" s="462" t="n"/>
      <c r="J123" s="462" t="n"/>
      <c r="K123" s="462" t="n"/>
      <c r="L123" s="462" t="n"/>
      <c r="M123" s="462" t="n"/>
      <c r="N123" s="462" t="n"/>
      <c r="O123" s="462" t="n"/>
      <c r="P123" s="462" t="n"/>
      <c r="Q123" s="462" t="n"/>
      <c r="R123" s="462" t="n"/>
      <c r="S123" s="462" t="n"/>
      <c r="T123" s="462" t="n"/>
      <c r="U123" s="462" t="n"/>
      <c r="V123" s="462" t="n"/>
      <c r="W123" s="462" t="n"/>
      <c r="X123" s="462" t="n"/>
      <c r="Y123" s="462" t="n"/>
      <c r="Z123" s="462" t="n"/>
    </row>
    <row r="124">
      <c r="A124" s="69" t="n"/>
      <c r="B124" s="72" t="n"/>
      <c r="C124" s="73" t="n"/>
      <c r="D124" s="69" t="n"/>
      <c r="E124" s="69" t="n"/>
      <c r="F124" s="69" t="n"/>
      <c r="G124" s="69" t="n"/>
      <c r="H124" s="462" t="n"/>
      <c r="I124" s="462" t="n"/>
      <c r="J124" s="462" t="n"/>
      <c r="K124" s="462" t="n"/>
      <c r="L124" s="462" t="n"/>
      <c r="M124" s="462" t="n"/>
      <c r="N124" s="462" t="n"/>
      <c r="O124" s="462" t="n"/>
      <c r="P124" s="462" t="n"/>
      <c r="Q124" s="462" t="n"/>
      <c r="R124" s="462" t="n"/>
      <c r="S124" s="462" t="n"/>
      <c r="T124" s="462" t="n"/>
      <c r="U124" s="462" t="n"/>
      <c r="V124" s="462" t="n"/>
      <c r="W124" s="462" t="n"/>
      <c r="X124" s="462" t="n"/>
      <c r="Y124" s="462" t="n"/>
      <c r="Z124" s="462" t="n"/>
    </row>
    <row r="125">
      <c r="A125" s="69" t="n"/>
      <c r="B125" s="72" t="n"/>
      <c r="C125" s="73" t="n"/>
      <c r="D125" s="69" t="n"/>
      <c r="E125" s="69" t="n"/>
      <c r="F125" s="69" t="n"/>
      <c r="G125" s="69" t="n"/>
      <c r="H125" s="462" t="n"/>
      <c r="I125" s="462" t="n"/>
      <c r="J125" s="462" t="n"/>
      <c r="K125" s="462" t="n"/>
      <c r="L125" s="462" t="n"/>
      <c r="M125" s="462" t="n"/>
      <c r="N125" s="462" t="n"/>
      <c r="O125" s="462" t="n"/>
      <c r="P125" s="462" t="n"/>
      <c r="Q125" s="462" t="n"/>
      <c r="R125" s="462" t="n"/>
      <c r="S125" s="462" t="n"/>
      <c r="T125" s="462" t="n"/>
      <c r="U125" s="462" t="n"/>
      <c r="V125" s="462" t="n"/>
      <c r="W125" s="462" t="n"/>
      <c r="X125" s="462" t="n"/>
      <c r="Y125" s="462" t="n"/>
      <c r="Z125" s="462" t="n"/>
    </row>
    <row r="126">
      <c r="A126" s="69" t="n"/>
      <c r="B126" s="72" t="n"/>
      <c r="C126" s="73" t="n"/>
      <c r="D126" s="69" t="n"/>
      <c r="E126" s="69" t="n"/>
      <c r="F126" s="69" t="n"/>
      <c r="G126" s="69" t="n"/>
      <c r="H126" s="462" t="n"/>
      <c r="I126" s="462" t="n"/>
      <c r="J126" s="462" t="n"/>
      <c r="K126" s="462" t="n"/>
      <c r="L126" s="462" t="n"/>
      <c r="M126" s="462" t="n"/>
      <c r="N126" s="462" t="n"/>
      <c r="O126" s="462" t="n"/>
      <c r="P126" s="462" t="n"/>
      <c r="Q126" s="462" t="n"/>
      <c r="R126" s="462" t="n"/>
      <c r="S126" s="462" t="n"/>
      <c r="T126" s="462" t="n"/>
      <c r="U126" s="462" t="n"/>
      <c r="V126" s="462" t="n"/>
      <c r="W126" s="462" t="n"/>
      <c r="X126" s="462" t="n"/>
      <c r="Y126" s="462" t="n"/>
      <c r="Z126" s="462" t="n"/>
    </row>
    <row r="127">
      <c r="A127" s="69" t="n"/>
      <c r="B127" s="72" t="n"/>
      <c r="C127" s="73" t="n"/>
      <c r="D127" s="69" t="n"/>
      <c r="E127" s="69" t="n"/>
      <c r="F127" s="69" t="n"/>
      <c r="G127" s="69" t="n"/>
      <c r="H127" s="462" t="n"/>
      <c r="I127" s="462" t="n"/>
      <c r="J127" s="462" t="n"/>
      <c r="K127" s="462" t="n"/>
      <c r="L127" s="462" t="n"/>
      <c r="M127" s="462" t="n"/>
      <c r="N127" s="462" t="n"/>
      <c r="O127" s="462" t="n"/>
      <c r="P127" s="462" t="n"/>
      <c r="Q127" s="462" t="n"/>
      <c r="R127" s="462" t="n"/>
      <c r="S127" s="462" t="n"/>
      <c r="T127" s="462" t="n"/>
      <c r="U127" s="462" t="n"/>
      <c r="V127" s="462" t="n"/>
      <c r="W127" s="462" t="n"/>
      <c r="X127" s="462" t="n"/>
      <c r="Y127" s="462" t="n"/>
      <c r="Z127" s="462" t="n"/>
    </row>
    <row r="128">
      <c r="A128" s="69" t="n"/>
      <c r="B128" s="72" t="n"/>
      <c r="C128" s="73" t="n"/>
      <c r="D128" s="69" t="n"/>
      <c r="E128" s="69" t="n"/>
      <c r="F128" s="69" t="n"/>
      <c r="G128" s="69" t="n"/>
      <c r="H128" s="462" t="n"/>
      <c r="I128" s="462" t="n"/>
      <c r="J128" s="462" t="n"/>
      <c r="K128" s="462" t="n"/>
      <c r="L128" s="462" t="n"/>
      <c r="M128" s="462" t="n"/>
      <c r="N128" s="462" t="n"/>
      <c r="O128" s="462" t="n"/>
      <c r="P128" s="462" t="n"/>
      <c r="Q128" s="462" t="n"/>
      <c r="R128" s="462" t="n"/>
      <c r="S128" s="462" t="n"/>
      <c r="T128" s="462" t="n"/>
      <c r="U128" s="462" t="n"/>
      <c r="V128" s="462" t="n"/>
      <c r="W128" s="462" t="n"/>
      <c r="X128" s="462" t="n"/>
      <c r="Y128" s="462" t="n"/>
      <c r="Z128" s="462" t="n"/>
    </row>
    <row r="129">
      <c r="A129" s="69" t="n"/>
      <c r="B129" s="72" t="n"/>
      <c r="C129" s="73" t="n"/>
      <c r="D129" s="69" t="n"/>
      <c r="E129" s="69" t="n"/>
      <c r="F129" s="69" t="n"/>
      <c r="G129" s="69" t="n"/>
      <c r="H129" s="462" t="n"/>
      <c r="I129" s="462" t="n"/>
      <c r="J129" s="462" t="n"/>
      <c r="K129" s="462" t="n"/>
      <c r="L129" s="462" t="n"/>
      <c r="M129" s="462" t="n"/>
      <c r="N129" s="462" t="n"/>
      <c r="O129" s="462" t="n"/>
      <c r="P129" s="462" t="n"/>
      <c r="Q129" s="462" t="n"/>
      <c r="R129" s="462" t="n"/>
      <c r="S129" s="462" t="n"/>
      <c r="T129" s="462" t="n"/>
      <c r="U129" s="462" t="n"/>
      <c r="V129" s="462" t="n"/>
      <c r="W129" s="462" t="n"/>
      <c r="X129" s="462" t="n"/>
      <c r="Y129" s="462" t="n"/>
      <c r="Z129" s="462" t="n"/>
    </row>
    <row r="130">
      <c r="A130" s="69" t="n"/>
      <c r="B130" s="72" t="n"/>
      <c r="C130" s="73" t="n"/>
      <c r="D130" s="69" t="n"/>
      <c r="E130" s="69" t="n"/>
      <c r="F130" s="69" t="n"/>
      <c r="G130" s="69" t="n"/>
      <c r="H130" s="462" t="n"/>
      <c r="I130" s="462" t="n"/>
      <c r="J130" s="462" t="n"/>
      <c r="K130" s="462" t="n"/>
      <c r="L130" s="462" t="n"/>
      <c r="M130" s="462" t="n"/>
      <c r="N130" s="462" t="n"/>
      <c r="O130" s="462" t="n"/>
      <c r="P130" s="462" t="n"/>
      <c r="Q130" s="462" t="n"/>
      <c r="R130" s="462" t="n"/>
      <c r="S130" s="462" t="n"/>
      <c r="T130" s="462" t="n"/>
      <c r="U130" s="462" t="n"/>
      <c r="V130" s="462" t="n"/>
      <c r="W130" s="462" t="n"/>
      <c r="X130" s="462" t="n"/>
      <c r="Y130" s="462" t="n"/>
      <c r="Z130" s="462" t="n"/>
    </row>
    <row r="131">
      <c r="A131" s="69" t="n"/>
      <c r="B131" s="72" t="n"/>
      <c r="C131" s="73" t="n"/>
      <c r="D131" s="69" t="n"/>
      <c r="E131" s="69" t="n"/>
      <c r="F131" s="69" t="n"/>
      <c r="G131" s="69" t="n"/>
      <c r="H131" s="462" t="n"/>
      <c r="I131" s="462" t="n"/>
      <c r="J131" s="462" t="n"/>
      <c r="K131" s="462" t="n"/>
      <c r="L131" s="462" t="n"/>
      <c r="M131" s="462" t="n"/>
      <c r="N131" s="462" t="n"/>
      <c r="O131" s="462" t="n"/>
      <c r="P131" s="462" t="n"/>
      <c r="Q131" s="462" t="n"/>
      <c r="R131" s="462" t="n"/>
      <c r="S131" s="462" t="n"/>
      <c r="T131" s="462" t="n"/>
      <c r="U131" s="462" t="n"/>
      <c r="V131" s="462" t="n"/>
      <c r="W131" s="462" t="n"/>
      <c r="X131" s="462" t="n"/>
      <c r="Y131" s="462" t="n"/>
      <c r="Z131" s="462" t="n"/>
    </row>
    <row r="132">
      <c r="A132" s="69" t="n"/>
      <c r="B132" s="72" t="n"/>
      <c r="C132" s="73" t="n"/>
      <c r="D132" s="69" t="n"/>
      <c r="E132" s="69" t="n"/>
      <c r="F132" s="69" t="n"/>
      <c r="G132" s="69" t="n"/>
      <c r="H132" s="462" t="n"/>
      <c r="I132" s="462" t="n"/>
      <c r="J132" s="462" t="n"/>
      <c r="K132" s="462" t="n"/>
      <c r="L132" s="462" t="n"/>
      <c r="M132" s="462" t="n"/>
      <c r="N132" s="462" t="n"/>
      <c r="O132" s="462" t="n"/>
      <c r="P132" s="462" t="n"/>
      <c r="Q132" s="462" t="n"/>
      <c r="R132" s="462" t="n"/>
      <c r="S132" s="462" t="n"/>
      <c r="T132" s="462" t="n"/>
      <c r="U132" s="462" t="n"/>
      <c r="V132" s="462" t="n"/>
      <c r="W132" s="462" t="n"/>
      <c r="X132" s="462" t="n"/>
      <c r="Y132" s="462" t="n"/>
      <c r="Z132" s="462" t="n"/>
    </row>
    <row r="133">
      <c r="A133" s="69" t="n"/>
      <c r="B133" s="72" t="n"/>
      <c r="C133" s="73" t="n"/>
      <c r="D133" s="69" t="n"/>
      <c r="E133" s="69" t="n"/>
      <c r="F133" s="69" t="n"/>
      <c r="G133" s="69" t="n"/>
      <c r="H133" s="462" t="n"/>
      <c r="I133" s="462" t="n"/>
      <c r="J133" s="462" t="n"/>
      <c r="K133" s="462" t="n"/>
      <c r="L133" s="462" t="n"/>
      <c r="M133" s="462" t="n"/>
      <c r="N133" s="462" t="n"/>
      <c r="O133" s="462" t="n"/>
      <c r="P133" s="462" t="n"/>
      <c r="Q133" s="462" t="n"/>
      <c r="R133" s="462" t="n"/>
      <c r="S133" s="462" t="n"/>
      <c r="T133" s="462" t="n"/>
      <c r="U133" s="462" t="n"/>
      <c r="V133" s="462" t="n"/>
      <c r="W133" s="462" t="n"/>
      <c r="X133" s="462" t="n"/>
      <c r="Y133" s="462" t="n"/>
      <c r="Z133" s="462" t="n"/>
    </row>
    <row r="134">
      <c r="A134" s="69" t="n"/>
      <c r="B134" s="72" t="n"/>
      <c r="C134" s="73" t="n"/>
      <c r="D134" s="69" t="n"/>
      <c r="E134" s="69" t="n"/>
      <c r="F134" s="69" t="n"/>
      <c r="G134" s="69" t="n"/>
      <c r="H134" s="462" t="n"/>
      <c r="I134" s="462" t="n"/>
      <c r="J134" s="462" t="n"/>
      <c r="K134" s="462" t="n"/>
      <c r="L134" s="462" t="n"/>
      <c r="M134" s="462" t="n"/>
      <c r="N134" s="462" t="n"/>
      <c r="O134" s="462" t="n"/>
      <c r="P134" s="462" t="n"/>
      <c r="Q134" s="462" t="n"/>
      <c r="R134" s="462" t="n"/>
      <c r="S134" s="462" t="n"/>
      <c r="T134" s="462" t="n"/>
      <c r="U134" s="462" t="n"/>
      <c r="V134" s="462" t="n"/>
      <c r="W134" s="462" t="n"/>
      <c r="X134" s="462" t="n"/>
      <c r="Y134" s="462" t="n"/>
      <c r="Z134" s="462" t="n"/>
    </row>
    <row r="135">
      <c r="A135" s="69" t="n"/>
      <c r="B135" s="72" t="n"/>
      <c r="C135" s="73" t="n"/>
      <c r="D135" s="69" t="n"/>
      <c r="E135" s="69" t="n"/>
      <c r="F135" s="69" t="n"/>
      <c r="G135" s="69" t="n"/>
      <c r="H135" s="462" t="n"/>
      <c r="I135" s="462" t="n"/>
      <c r="J135" s="462" t="n"/>
      <c r="K135" s="462" t="n"/>
      <c r="L135" s="462" t="n"/>
      <c r="M135" s="462" t="n"/>
      <c r="N135" s="462" t="n"/>
      <c r="O135" s="462" t="n"/>
      <c r="P135" s="462" t="n"/>
      <c r="Q135" s="462" t="n"/>
      <c r="R135" s="462" t="n"/>
      <c r="S135" s="462" t="n"/>
      <c r="T135" s="462" t="n"/>
      <c r="U135" s="462" t="n"/>
      <c r="V135" s="462" t="n"/>
      <c r="W135" s="462" t="n"/>
      <c r="X135" s="462" t="n"/>
      <c r="Y135" s="462" t="n"/>
      <c r="Z135" s="462" t="n"/>
    </row>
    <row r="136">
      <c r="A136" s="69" t="n"/>
      <c r="B136" s="72" t="n"/>
      <c r="C136" s="73" t="n"/>
      <c r="D136" s="69" t="n"/>
      <c r="E136" s="69" t="n"/>
      <c r="F136" s="69" t="n"/>
      <c r="G136" s="69" t="n"/>
      <c r="H136" s="462" t="n"/>
      <c r="I136" s="462" t="n"/>
      <c r="J136" s="462" t="n"/>
      <c r="K136" s="462" t="n"/>
      <c r="L136" s="462" t="n"/>
      <c r="M136" s="462" t="n"/>
      <c r="N136" s="462" t="n"/>
      <c r="O136" s="462" t="n"/>
      <c r="P136" s="462" t="n"/>
      <c r="Q136" s="462" t="n"/>
      <c r="R136" s="462" t="n"/>
      <c r="S136" s="462" t="n"/>
      <c r="T136" s="462" t="n"/>
      <c r="U136" s="462" t="n"/>
      <c r="V136" s="462" t="n"/>
      <c r="W136" s="462" t="n"/>
      <c r="X136" s="462" t="n"/>
      <c r="Y136" s="462" t="n"/>
      <c r="Z136" s="462" t="n"/>
    </row>
    <row r="137">
      <c r="A137" s="69" t="n"/>
      <c r="B137" s="72" t="n"/>
      <c r="C137" s="73" t="n"/>
      <c r="D137" s="69" t="n"/>
      <c r="E137" s="69" t="n"/>
      <c r="F137" s="69" t="n"/>
      <c r="G137" s="69" t="n"/>
      <c r="H137" s="462" t="n"/>
      <c r="I137" s="462" t="n"/>
      <c r="J137" s="462" t="n"/>
      <c r="K137" s="462" t="n"/>
      <c r="L137" s="462" t="n"/>
      <c r="M137" s="462" t="n"/>
      <c r="N137" s="462" t="n"/>
      <c r="O137" s="462" t="n"/>
      <c r="P137" s="462" t="n"/>
      <c r="Q137" s="462" t="n"/>
      <c r="R137" s="462" t="n"/>
      <c r="S137" s="462" t="n"/>
      <c r="T137" s="462" t="n"/>
      <c r="U137" s="462" t="n"/>
      <c r="V137" s="462" t="n"/>
      <c r="W137" s="462" t="n"/>
      <c r="X137" s="462" t="n"/>
      <c r="Y137" s="462" t="n"/>
      <c r="Z137" s="462" t="n"/>
    </row>
    <row r="138">
      <c r="A138" s="69" t="n"/>
      <c r="B138" s="72" t="n"/>
      <c r="C138" s="73" t="n"/>
      <c r="D138" s="69" t="n"/>
      <c r="E138" s="69" t="n"/>
      <c r="F138" s="69" t="n"/>
      <c r="G138" s="69" t="n"/>
      <c r="H138" s="462" t="n"/>
      <c r="I138" s="462" t="n"/>
      <c r="J138" s="462" t="n"/>
      <c r="K138" s="462" t="n"/>
      <c r="L138" s="462" t="n"/>
      <c r="M138" s="462" t="n"/>
      <c r="N138" s="462" t="n"/>
      <c r="O138" s="462" t="n"/>
      <c r="P138" s="462" t="n"/>
      <c r="Q138" s="462" t="n"/>
      <c r="R138" s="462" t="n"/>
      <c r="S138" s="462" t="n"/>
      <c r="T138" s="462" t="n"/>
      <c r="U138" s="462" t="n"/>
      <c r="V138" s="462" t="n"/>
      <c r="W138" s="462" t="n"/>
      <c r="X138" s="462" t="n"/>
      <c r="Y138" s="462" t="n"/>
      <c r="Z138" s="462" t="n"/>
    </row>
    <row r="139">
      <c r="A139" s="69" t="n"/>
      <c r="B139" s="72" t="n"/>
      <c r="C139" s="73" t="n"/>
      <c r="D139" s="69" t="n"/>
      <c r="E139" s="69" t="n"/>
      <c r="F139" s="69" t="n"/>
      <c r="G139" s="69" t="n"/>
      <c r="H139" s="462" t="n"/>
      <c r="I139" s="462" t="n"/>
      <c r="J139" s="462" t="n"/>
      <c r="K139" s="462" t="n"/>
      <c r="L139" s="462" t="n"/>
      <c r="M139" s="462" t="n"/>
      <c r="N139" s="462" t="n"/>
      <c r="O139" s="462" t="n"/>
      <c r="P139" s="462" t="n"/>
      <c r="Q139" s="462" t="n"/>
      <c r="R139" s="462" t="n"/>
      <c r="S139" s="462" t="n"/>
      <c r="T139" s="462" t="n"/>
      <c r="U139" s="462" t="n"/>
      <c r="V139" s="462" t="n"/>
      <c r="W139" s="462" t="n"/>
      <c r="X139" s="462" t="n"/>
      <c r="Y139" s="462" t="n"/>
      <c r="Z139" s="462" t="n"/>
    </row>
    <row r="140">
      <c r="A140" s="69" t="n"/>
      <c r="B140" s="72" t="n"/>
      <c r="C140" s="73" t="n"/>
      <c r="D140" s="69" t="n"/>
      <c r="E140" s="69" t="n"/>
      <c r="F140" s="69" t="n"/>
      <c r="G140" s="69" t="n"/>
      <c r="H140" s="462" t="n"/>
      <c r="I140" s="462" t="n"/>
      <c r="J140" s="462" t="n"/>
      <c r="K140" s="462" t="n"/>
      <c r="L140" s="462" t="n"/>
      <c r="M140" s="462" t="n"/>
      <c r="N140" s="462" t="n"/>
      <c r="O140" s="462" t="n"/>
      <c r="P140" s="462" t="n"/>
      <c r="Q140" s="462" t="n"/>
      <c r="R140" s="462" t="n"/>
      <c r="S140" s="462" t="n"/>
      <c r="T140" s="462" t="n"/>
      <c r="U140" s="462" t="n"/>
      <c r="V140" s="462" t="n"/>
      <c r="W140" s="462" t="n"/>
      <c r="X140" s="462" t="n"/>
      <c r="Y140" s="462" t="n"/>
      <c r="Z140" s="462" t="n"/>
    </row>
    <row r="141">
      <c r="A141" s="69" t="n"/>
      <c r="B141" s="72" t="n"/>
      <c r="C141" s="73" t="n"/>
      <c r="D141" s="69" t="n"/>
      <c r="E141" s="69" t="n"/>
      <c r="F141" s="69" t="n"/>
      <c r="G141" s="69" t="n"/>
      <c r="H141" s="462" t="n"/>
      <c r="I141" s="462" t="n"/>
      <c r="J141" s="462" t="n"/>
      <c r="K141" s="462" t="n"/>
      <c r="L141" s="462" t="n"/>
      <c r="M141" s="462" t="n"/>
      <c r="N141" s="462" t="n"/>
      <c r="O141" s="462" t="n"/>
      <c r="P141" s="462" t="n"/>
      <c r="Q141" s="462" t="n"/>
      <c r="R141" s="462" t="n"/>
      <c r="S141" s="462" t="n"/>
      <c r="T141" s="462" t="n"/>
      <c r="U141" s="462" t="n"/>
      <c r="V141" s="462" t="n"/>
      <c r="W141" s="462" t="n"/>
      <c r="X141" s="462" t="n"/>
      <c r="Y141" s="462" t="n"/>
      <c r="Z141" s="462" t="n"/>
    </row>
    <row r="142">
      <c r="A142" s="69" t="n"/>
      <c r="B142" s="72" t="n"/>
      <c r="C142" s="73" t="n"/>
      <c r="D142" s="69" t="n"/>
      <c r="E142" s="69" t="n"/>
      <c r="F142" s="69" t="n"/>
      <c r="G142" s="69" t="n"/>
      <c r="H142" s="462" t="n"/>
      <c r="I142" s="462" t="n"/>
      <c r="J142" s="462" t="n"/>
      <c r="K142" s="462" t="n"/>
      <c r="L142" s="462" t="n"/>
      <c r="M142" s="462" t="n"/>
      <c r="N142" s="462" t="n"/>
      <c r="O142" s="462" t="n"/>
      <c r="P142" s="462" t="n"/>
      <c r="Q142" s="462" t="n"/>
      <c r="R142" s="462" t="n"/>
      <c r="S142" s="462" t="n"/>
      <c r="T142" s="462" t="n"/>
      <c r="U142" s="462" t="n"/>
      <c r="V142" s="462" t="n"/>
      <c r="W142" s="462" t="n"/>
      <c r="X142" s="462" t="n"/>
      <c r="Y142" s="462" t="n"/>
      <c r="Z142" s="462" t="n"/>
    </row>
    <row r="143">
      <c r="A143" s="69" t="n"/>
      <c r="B143" s="72" t="n"/>
      <c r="C143" s="73" t="n"/>
      <c r="D143" s="69" t="n"/>
      <c r="E143" s="69" t="n"/>
      <c r="F143" s="69" t="n"/>
      <c r="G143" s="69" t="n"/>
      <c r="H143" s="462" t="n"/>
      <c r="I143" s="462" t="n"/>
      <c r="J143" s="462" t="n"/>
      <c r="K143" s="462" t="n"/>
      <c r="L143" s="462" t="n"/>
      <c r="M143" s="462" t="n"/>
      <c r="N143" s="462" t="n"/>
      <c r="O143" s="462" t="n"/>
      <c r="P143" s="462" t="n"/>
      <c r="Q143" s="462" t="n"/>
      <c r="R143" s="462" t="n"/>
      <c r="S143" s="462" t="n"/>
      <c r="T143" s="462" t="n"/>
      <c r="U143" s="462" t="n"/>
      <c r="V143" s="462" t="n"/>
      <c r="W143" s="462" t="n"/>
      <c r="X143" s="462" t="n"/>
      <c r="Y143" s="462" t="n"/>
      <c r="Z143" s="462" t="n"/>
    </row>
    <row r="144">
      <c r="A144" s="69" t="n"/>
      <c r="B144" s="72" t="n"/>
      <c r="C144" s="73" t="n"/>
      <c r="D144" s="69" t="n"/>
      <c r="E144" s="69" t="n"/>
      <c r="F144" s="69" t="n"/>
      <c r="G144" s="69" t="n"/>
      <c r="H144" s="462" t="n"/>
      <c r="I144" s="462" t="n"/>
      <c r="J144" s="462" t="n"/>
      <c r="K144" s="462" t="n"/>
      <c r="L144" s="462" t="n"/>
      <c r="M144" s="462" t="n"/>
      <c r="N144" s="462" t="n"/>
      <c r="O144" s="462" t="n"/>
      <c r="P144" s="462" t="n"/>
      <c r="Q144" s="462" t="n"/>
      <c r="R144" s="462" t="n"/>
      <c r="S144" s="462" t="n"/>
      <c r="T144" s="462" t="n"/>
      <c r="U144" s="462" t="n"/>
      <c r="V144" s="462" t="n"/>
      <c r="W144" s="462" t="n"/>
      <c r="X144" s="462" t="n"/>
      <c r="Y144" s="462" t="n"/>
      <c r="Z144" s="462" t="n"/>
    </row>
    <row r="145">
      <c r="A145" s="69" t="n"/>
      <c r="B145" s="72" t="n"/>
      <c r="C145" s="73" t="n"/>
      <c r="D145" s="69" t="n"/>
      <c r="E145" s="69" t="n"/>
      <c r="F145" s="69" t="n"/>
      <c r="G145" s="69" t="n"/>
      <c r="H145" s="462" t="n"/>
      <c r="I145" s="462" t="n"/>
      <c r="J145" s="462" t="n"/>
      <c r="K145" s="462" t="n"/>
      <c r="L145" s="462" t="n"/>
      <c r="M145" s="462" t="n"/>
      <c r="N145" s="462" t="n"/>
      <c r="O145" s="462" t="n"/>
      <c r="P145" s="462" t="n"/>
      <c r="Q145" s="462" t="n"/>
      <c r="R145" s="462" t="n"/>
      <c r="S145" s="462" t="n"/>
      <c r="T145" s="462" t="n"/>
      <c r="U145" s="462" t="n"/>
      <c r="V145" s="462" t="n"/>
      <c r="W145" s="462" t="n"/>
      <c r="X145" s="462" t="n"/>
      <c r="Y145" s="462" t="n"/>
      <c r="Z145" s="462" t="n"/>
    </row>
    <row r="146">
      <c r="A146" s="69" t="n"/>
      <c r="B146" s="72" t="n"/>
      <c r="C146" s="73" t="n"/>
      <c r="D146" s="69" t="n"/>
      <c r="E146" s="69" t="n"/>
      <c r="F146" s="69" t="n"/>
      <c r="G146" s="69" t="n"/>
      <c r="H146" s="462" t="n"/>
      <c r="I146" s="462" t="n"/>
      <c r="J146" s="462" t="n"/>
      <c r="K146" s="462" t="n"/>
      <c r="L146" s="462" t="n"/>
      <c r="M146" s="462" t="n"/>
      <c r="N146" s="462" t="n"/>
      <c r="O146" s="462" t="n"/>
      <c r="P146" s="462" t="n"/>
      <c r="Q146" s="462" t="n"/>
      <c r="R146" s="462" t="n"/>
      <c r="S146" s="462" t="n"/>
      <c r="T146" s="462" t="n"/>
      <c r="U146" s="462" t="n"/>
      <c r="V146" s="462" t="n"/>
      <c r="W146" s="462" t="n"/>
      <c r="X146" s="462" t="n"/>
      <c r="Y146" s="462" t="n"/>
      <c r="Z146" s="462" t="n"/>
    </row>
    <row r="147">
      <c r="A147" s="69" t="n"/>
      <c r="B147" s="72" t="n"/>
      <c r="C147" s="73" t="n"/>
      <c r="D147" s="69" t="n"/>
      <c r="E147" s="69" t="n"/>
      <c r="F147" s="69" t="n"/>
      <c r="G147" s="69" t="n"/>
      <c r="H147" s="462" t="n"/>
      <c r="I147" s="462" t="n"/>
      <c r="J147" s="462" t="n"/>
      <c r="K147" s="462" t="n"/>
      <c r="L147" s="462" t="n"/>
      <c r="M147" s="462" t="n"/>
      <c r="N147" s="462" t="n"/>
      <c r="O147" s="462" t="n"/>
      <c r="P147" s="462" t="n"/>
      <c r="Q147" s="462" t="n"/>
      <c r="R147" s="462" t="n"/>
      <c r="S147" s="462" t="n"/>
      <c r="T147" s="462" t="n"/>
      <c r="U147" s="462" t="n"/>
      <c r="V147" s="462" t="n"/>
      <c r="W147" s="462" t="n"/>
      <c r="X147" s="462" t="n"/>
      <c r="Y147" s="462" t="n"/>
      <c r="Z147" s="462" t="n"/>
    </row>
    <row r="148">
      <c r="A148" s="69" t="n"/>
      <c r="B148" s="72" t="n"/>
      <c r="C148" s="73" t="n"/>
      <c r="D148" s="69" t="n"/>
      <c r="E148" s="69" t="n"/>
      <c r="F148" s="69" t="n"/>
      <c r="G148" s="69" t="n"/>
      <c r="H148" s="462" t="n"/>
      <c r="I148" s="462" t="n"/>
      <c r="J148" s="462" t="n"/>
      <c r="K148" s="462" t="n"/>
      <c r="L148" s="462" t="n"/>
      <c r="M148" s="462" t="n"/>
      <c r="N148" s="462" t="n"/>
      <c r="O148" s="462" t="n"/>
      <c r="P148" s="462" t="n"/>
      <c r="Q148" s="462" t="n"/>
      <c r="R148" s="462" t="n"/>
      <c r="S148" s="462" t="n"/>
      <c r="T148" s="462" t="n"/>
      <c r="U148" s="462" t="n"/>
      <c r="V148" s="462" t="n"/>
      <c r="W148" s="462" t="n"/>
      <c r="X148" s="462" t="n"/>
      <c r="Y148" s="462" t="n"/>
      <c r="Z148" s="462" t="n"/>
    </row>
    <row r="149">
      <c r="A149" s="69" t="n"/>
      <c r="B149" s="72" t="n"/>
      <c r="C149" s="73" t="n"/>
      <c r="D149" s="69" t="n"/>
      <c r="E149" s="69" t="n"/>
      <c r="F149" s="69" t="n"/>
      <c r="G149" s="69" t="n"/>
      <c r="H149" s="462" t="n"/>
      <c r="I149" s="462" t="n"/>
      <c r="J149" s="462" t="n"/>
      <c r="K149" s="462" t="n"/>
      <c r="L149" s="462" t="n"/>
      <c r="M149" s="462" t="n"/>
      <c r="N149" s="462" t="n"/>
      <c r="O149" s="462" t="n"/>
      <c r="P149" s="462" t="n"/>
      <c r="Q149" s="462" t="n"/>
      <c r="R149" s="462" t="n"/>
      <c r="S149" s="462" t="n"/>
      <c r="T149" s="462" t="n"/>
      <c r="U149" s="462" t="n"/>
      <c r="V149" s="462" t="n"/>
      <c r="W149" s="462" t="n"/>
      <c r="X149" s="462" t="n"/>
      <c r="Y149" s="462" t="n"/>
      <c r="Z149" s="462" t="n"/>
    </row>
    <row r="150">
      <c r="A150" s="69" t="n"/>
      <c r="B150" s="72" t="n"/>
      <c r="C150" s="73" t="n"/>
      <c r="D150" s="69" t="n"/>
      <c r="E150" s="69" t="n"/>
      <c r="F150" s="69" t="n"/>
      <c r="G150" s="69" t="n"/>
      <c r="H150" s="462" t="n"/>
      <c r="I150" s="462" t="n"/>
      <c r="J150" s="462" t="n"/>
      <c r="K150" s="462" t="n"/>
      <c r="L150" s="462" t="n"/>
      <c r="M150" s="462" t="n"/>
      <c r="N150" s="462" t="n"/>
      <c r="O150" s="462" t="n"/>
      <c r="P150" s="462" t="n"/>
      <c r="Q150" s="462" t="n"/>
      <c r="R150" s="462" t="n"/>
      <c r="S150" s="462" t="n"/>
      <c r="T150" s="462" t="n"/>
      <c r="U150" s="462" t="n"/>
      <c r="V150" s="462" t="n"/>
      <c r="W150" s="462" t="n"/>
      <c r="X150" s="462" t="n"/>
      <c r="Y150" s="462" t="n"/>
      <c r="Z150" s="462" t="n"/>
    </row>
    <row r="151">
      <c r="A151" s="69" t="n"/>
      <c r="B151" s="72" t="n"/>
      <c r="C151" s="73" t="n"/>
      <c r="D151" s="69" t="n"/>
      <c r="E151" s="69" t="n"/>
      <c r="F151" s="69" t="n"/>
      <c r="G151" s="69" t="n"/>
      <c r="H151" s="462" t="n"/>
      <c r="I151" s="462" t="n"/>
      <c r="J151" s="462" t="n"/>
      <c r="K151" s="462" t="n"/>
      <c r="L151" s="462" t="n"/>
      <c r="M151" s="462" t="n"/>
      <c r="N151" s="462" t="n"/>
      <c r="O151" s="462" t="n"/>
      <c r="P151" s="462" t="n"/>
      <c r="Q151" s="462" t="n"/>
      <c r="R151" s="462" t="n"/>
      <c r="S151" s="462" t="n"/>
      <c r="T151" s="462" t="n"/>
      <c r="U151" s="462" t="n"/>
      <c r="V151" s="462" t="n"/>
      <c r="W151" s="462" t="n"/>
      <c r="X151" s="462" t="n"/>
      <c r="Y151" s="462" t="n"/>
      <c r="Z151" s="462" t="n"/>
    </row>
    <row r="152">
      <c r="A152" s="69" t="n"/>
      <c r="B152" s="72" t="n"/>
      <c r="C152" s="73" t="n"/>
      <c r="D152" s="69" t="n"/>
      <c r="E152" s="69" t="n"/>
      <c r="F152" s="69" t="n"/>
      <c r="G152" s="69" t="n"/>
      <c r="H152" s="462" t="n"/>
      <c r="I152" s="462" t="n"/>
      <c r="J152" s="462" t="n"/>
      <c r="K152" s="462" t="n"/>
      <c r="L152" s="462" t="n"/>
      <c r="M152" s="462" t="n"/>
      <c r="N152" s="462" t="n"/>
      <c r="O152" s="462" t="n"/>
      <c r="P152" s="462" t="n"/>
      <c r="Q152" s="462" t="n"/>
      <c r="R152" s="462" t="n"/>
      <c r="S152" s="462" t="n"/>
      <c r="T152" s="462" t="n"/>
      <c r="U152" s="462" t="n"/>
      <c r="V152" s="462" t="n"/>
      <c r="W152" s="462" t="n"/>
      <c r="X152" s="462" t="n"/>
      <c r="Y152" s="462" t="n"/>
      <c r="Z152" s="462" t="n"/>
    </row>
    <row r="153">
      <c r="A153" s="69" t="n"/>
      <c r="B153" s="72" t="n"/>
      <c r="C153" s="73" t="n"/>
      <c r="D153" s="69" t="n"/>
      <c r="E153" s="69" t="n"/>
      <c r="F153" s="69" t="n"/>
      <c r="G153" s="69" t="n"/>
      <c r="H153" s="462" t="n"/>
      <c r="I153" s="462" t="n"/>
      <c r="J153" s="462" t="n"/>
      <c r="K153" s="462" t="n"/>
      <c r="L153" s="462" t="n"/>
      <c r="M153" s="462" t="n"/>
      <c r="N153" s="462" t="n"/>
      <c r="O153" s="462" t="n"/>
      <c r="P153" s="462" t="n"/>
      <c r="Q153" s="462" t="n"/>
      <c r="R153" s="462" t="n"/>
      <c r="S153" s="462" t="n"/>
      <c r="T153" s="462" t="n"/>
      <c r="U153" s="462" t="n"/>
      <c r="V153" s="462" t="n"/>
      <c r="W153" s="462" t="n"/>
      <c r="X153" s="462" t="n"/>
      <c r="Y153" s="462" t="n"/>
      <c r="Z153" s="462" t="n"/>
    </row>
    <row r="154">
      <c r="A154" s="69" t="n"/>
      <c r="B154" s="72" t="n"/>
      <c r="C154" s="73" t="n"/>
      <c r="D154" s="69" t="n"/>
      <c r="E154" s="69" t="n"/>
      <c r="F154" s="69" t="n"/>
      <c r="G154" s="69" t="n"/>
      <c r="H154" s="462" t="n"/>
      <c r="I154" s="462" t="n"/>
      <c r="J154" s="462" t="n"/>
      <c r="K154" s="462" t="n"/>
      <c r="L154" s="462" t="n"/>
      <c r="M154" s="462" t="n"/>
      <c r="N154" s="462" t="n"/>
      <c r="O154" s="462" t="n"/>
      <c r="P154" s="462" t="n"/>
      <c r="Q154" s="462" t="n"/>
      <c r="R154" s="462" t="n"/>
      <c r="S154" s="462" t="n"/>
      <c r="T154" s="462" t="n"/>
      <c r="U154" s="462" t="n"/>
      <c r="V154" s="462" t="n"/>
      <c r="W154" s="462" t="n"/>
      <c r="X154" s="462" t="n"/>
      <c r="Y154" s="462" t="n"/>
      <c r="Z154" s="462" t="n"/>
    </row>
    <row r="155">
      <c r="A155" s="69" t="n"/>
      <c r="B155" s="72" t="n"/>
      <c r="C155" s="73" t="n"/>
      <c r="D155" s="69" t="n"/>
      <c r="E155" s="69" t="n"/>
      <c r="F155" s="69" t="n"/>
      <c r="G155" s="69" t="n"/>
      <c r="H155" s="462" t="n"/>
      <c r="I155" s="462" t="n"/>
      <c r="J155" s="462" t="n"/>
      <c r="K155" s="462" t="n"/>
      <c r="L155" s="462" t="n"/>
      <c r="M155" s="462" t="n"/>
      <c r="N155" s="462" t="n"/>
      <c r="O155" s="462" t="n"/>
      <c r="P155" s="462" t="n"/>
      <c r="Q155" s="462" t="n"/>
      <c r="R155" s="462" t="n"/>
      <c r="S155" s="462" t="n"/>
      <c r="T155" s="462" t="n"/>
      <c r="U155" s="462" t="n"/>
      <c r="V155" s="462" t="n"/>
      <c r="W155" s="462" t="n"/>
      <c r="X155" s="462" t="n"/>
      <c r="Y155" s="462" t="n"/>
      <c r="Z155" s="462" t="n"/>
    </row>
    <row r="156">
      <c r="A156" s="69" t="n"/>
      <c r="B156" s="72" t="n"/>
      <c r="C156" s="73" t="n"/>
      <c r="D156" s="69" t="n"/>
      <c r="E156" s="69" t="n"/>
      <c r="F156" s="69" t="n"/>
      <c r="G156" s="69" t="n"/>
    </row>
    <row r="157">
      <c r="A157" s="69" t="n"/>
      <c r="B157" s="72" t="n"/>
      <c r="C157" s="73" t="n"/>
      <c r="D157" s="69" t="n"/>
      <c r="E157" s="69" t="n"/>
      <c r="F157" s="69" t="n"/>
      <c r="G157" s="69" t="n"/>
    </row>
    <row r="158">
      <c r="A158" s="69" t="n"/>
      <c r="B158" s="72" t="n"/>
      <c r="C158" s="73" t="n"/>
      <c r="D158" s="69" t="n"/>
      <c r="E158" s="69" t="n"/>
      <c r="F158" s="69" t="n"/>
      <c r="G158" s="69" t="n"/>
    </row>
    <row r="159">
      <c r="A159" s="69" t="n"/>
      <c r="B159" s="72" t="n"/>
      <c r="C159" s="73" t="n"/>
      <c r="D159" s="69" t="n"/>
      <c r="E159" s="69" t="n"/>
      <c r="F159" s="69" t="n"/>
      <c r="G159" s="69" t="n"/>
    </row>
    <row r="160">
      <c r="A160" s="69" t="n"/>
      <c r="B160" s="72" t="n"/>
      <c r="C160" s="73" t="n"/>
      <c r="D160" s="69" t="n"/>
      <c r="E160" s="69" t="n"/>
      <c r="F160" s="69" t="n"/>
      <c r="G160" s="69" t="n"/>
    </row>
    <row r="161">
      <c r="A161" s="69" t="n"/>
      <c r="B161" s="72" t="n"/>
      <c r="C161" s="73" t="n"/>
      <c r="D161" s="69" t="n"/>
      <c r="E161" s="69" t="n"/>
      <c r="F161" s="69" t="n"/>
      <c r="G161" s="69" t="n"/>
    </row>
    <row r="162">
      <c r="A162" s="69" t="n"/>
      <c r="B162" s="72" t="n"/>
      <c r="C162" s="73" t="n"/>
      <c r="D162" s="69" t="n"/>
      <c r="E162" s="69" t="n"/>
      <c r="F162" s="69" t="n"/>
      <c r="G162" s="69" t="n"/>
    </row>
    <row r="163">
      <c r="A163" s="69" t="n"/>
      <c r="B163" s="72" t="n"/>
      <c r="C163" s="73" t="n"/>
      <c r="D163" s="69" t="n"/>
      <c r="E163" s="69" t="n"/>
      <c r="F163" s="69" t="n"/>
      <c r="G163" s="69" t="n"/>
    </row>
    <row r="164">
      <c r="A164" s="69" t="n"/>
      <c r="B164" s="72" t="n"/>
      <c r="C164" s="73" t="n"/>
      <c r="D164" s="69" t="n"/>
      <c r="E164" s="69" t="n"/>
      <c r="F164" s="69" t="n"/>
      <c r="G164" s="69" t="n"/>
    </row>
    <row r="165">
      <c r="A165" s="69" t="n"/>
      <c r="B165" s="72" t="n"/>
      <c r="C165" s="73" t="n"/>
      <c r="D165" s="69" t="n"/>
      <c r="E165" s="69" t="n"/>
      <c r="F165" s="69" t="n"/>
      <c r="G165" s="69" t="n"/>
    </row>
    <row r="166">
      <c r="A166" s="69" t="n"/>
      <c r="B166" s="72" t="n"/>
      <c r="C166" s="73" t="n"/>
      <c r="D166" s="69" t="n"/>
      <c r="E166" s="69" t="n"/>
      <c r="F166" s="69" t="n"/>
      <c r="G166" s="69" t="n"/>
    </row>
    <row r="167">
      <c r="A167" s="69" t="n"/>
      <c r="B167" s="72" t="n"/>
      <c r="C167" s="73" t="n"/>
      <c r="D167" s="69" t="n"/>
      <c r="E167" s="69" t="n"/>
      <c r="F167" s="69" t="n"/>
      <c r="G167" s="69" t="n"/>
    </row>
    <row r="168">
      <c r="A168" s="69" t="n"/>
      <c r="B168" s="72" t="n"/>
      <c r="C168" s="73" t="n"/>
      <c r="D168" s="69" t="n"/>
      <c r="E168" s="69" t="n"/>
      <c r="F168" s="69" t="n"/>
      <c r="G168" s="69" t="n"/>
    </row>
    <row r="169">
      <c r="A169" s="69" t="n"/>
      <c r="B169" s="72" t="n"/>
      <c r="C169" s="73" t="n"/>
      <c r="D169" s="69" t="n"/>
      <c r="E169" s="69" t="n"/>
      <c r="F169" s="69" t="n"/>
      <c r="G169" s="69" t="n"/>
    </row>
    <row r="170">
      <c r="A170" s="69" t="n"/>
      <c r="B170" s="72" t="n"/>
      <c r="C170" s="73" t="n"/>
      <c r="D170" s="69" t="n"/>
      <c r="E170" s="69" t="n"/>
      <c r="F170" s="69" t="n"/>
      <c r="G170" s="69" t="n"/>
    </row>
    <row r="171">
      <c r="A171" s="69" t="n"/>
      <c r="B171" s="72" t="n"/>
      <c r="C171" s="73" t="n"/>
      <c r="D171" s="69" t="n"/>
      <c r="E171" s="69" t="n"/>
      <c r="F171" s="69" t="n"/>
      <c r="G171" s="69" t="n"/>
    </row>
    <row r="172">
      <c r="A172" s="69" t="n"/>
      <c r="B172" s="72" t="n"/>
      <c r="C172" s="73" t="n"/>
      <c r="D172" s="69" t="n"/>
      <c r="E172" s="69" t="n"/>
      <c r="F172" s="69" t="n"/>
      <c r="G172" s="69" t="n"/>
    </row>
    <row r="173">
      <c r="A173" s="69" t="n"/>
      <c r="B173" s="72" t="n"/>
      <c r="C173" s="73" t="n"/>
      <c r="D173" s="69" t="n"/>
      <c r="E173" s="69" t="n"/>
      <c r="F173" s="69" t="n"/>
      <c r="G173" s="69" t="n"/>
    </row>
    <row r="174">
      <c r="A174" s="69" t="n"/>
      <c r="B174" s="72" t="n"/>
      <c r="C174" s="73" t="n"/>
      <c r="D174" s="69" t="n"/>
      <c r="E174" s="69" t="n"/>
      <c r="F174" s="69" t="n"/>
      <c r="G174" s="69" t="n"/>
    </row>
    <row r="175">
      <c r="A175" s="69" t="n"/>
      <c r="B175" s="72" t="n"/>
      <c r="C175" s="73" t="n"/>
      <c r="D175" s="69" t="n"/>
      <c r="E175" s="69" t="n"/>
      <c r="F175" s="69" t="n"/>
      <c r="G175" s="69" t="n"/>
    </row>
    <row r="176">
      <c r="A176" s="69" t="n"/>
      <c r="B176" s="72" t="n"/>
      <c r="C176" s="73" t="n"/>
      <c r="D176" s="69" t="n"/>
      <c r="E176" s="69" t="n"/>
      <c r="F176" s="69" t="n"/>
      <c r="G176" s="69" t="n"/>
    </row>
    <row r="177">
      <c r="A177" s="69" t="n"/>
      <c r="B177" s="72" t="n"/>
      <c r="C177" s="73" t="n"/>
      <c r="D177" s="69" t="n"/>
      <c r="E177" s="69" t="n"/>
      <c r="F177" s="69" t="n"/>
      <c r="G177" s="69" t="n"/>
    </row>
    <row r="178">
      <c r="A178" s="69" t="n"/>
      <c r="B178" s="72" t="n"/>
      <c r="C178" s="73" t="n"/>
      <c r="D178" s="69" t="n"/>
      <c r="E178" s="69" t="n"/>
      <c r="F178" s="69" t="n"/>
      <c r="G178" s="69" t="n"/>
    </row>
    <row r="179">
      <c r="A179" s="69" t="n"/>
      <c r="B179" s="72" t="n"/>
      <c r="C179" s="73" t="n"/>
      <c r="D179" s="69" t="n"/>
      <c r="E179" s="69" t="n"/>
      <c r="F179" s="69" t="n"/>
      <c r="G179" s="69" t="n"/>
    </row>
    <row r="180">
      <c r="A180" s="69" t="n"/>
      <c r="B180" s="72" t="n"/>
      <c r="C180" s="73" t="n"/>
      <c r="D180" s="69" t="n"/>
      <c r="E180" s="69" t="n"/>
      <c r="F180" s="69" t="n"/>
      <c r="G180" s="69" t="n"/>
    </row>
    <row r="181">
      <c r="A181" s="69" t="n"/>
      <c r="B181" s="72" t="n"/>
      <c r="C181" s="73" t="n"/>
      <c r="D181" s="69" t="n"/>
      <c r="E181" s="69" t="n"/>
      <c r="F181" s="69" t="n"/>
      <c r="G181" s="69" t="n"/>
    </row>
    <row r="182">
      <c r="A182" s="69" t="n"/>
      <c r="B182" s="72" t="n"/>
      <c r="C182" s="73" t="n"/>
      <c r="D182" s="69" t="n"/>
      <c r="E182" s="69" t="n"/>
      <c r="F182" s="69" t="n"/>
      <c r="G182" s="69" t="n"/>
    </row>
    <row r="183">
      <c r="A183" s="69" t="n"/>
      <c r="B183" s="72" t="n"/>
      <c r="C183" s="73" t="n"/>
      <c r="D183" s="69" t="n"/>
      <c r="E183" s="69" t="n"/>
      <c r="F183" s="69" t="n"/>
      <c r="G183" s="69" t="n"/>
    </row>
    <row r="184">
      <c r="A184" s="69" t="n"/>
      <c r="B184" s="72" t="n"/>
      <c r="C184" s="73" t="n"/>
      <c r="D184" s="69" t="n"/>
      <c r="E184" s="69" t="n"/>
      <c r="F184" s="69" t="n"/>
      <c r="G184" s="69" t="n"/>
    </row>
    <row r="185">
      <c r="A185" s="69" t="n"/>
      <c r="B185" s="72" t="n"/>
      <c r="C185" s="73" t="n"/>
      <c r="D185" s="69" t="n"/>
      <c r="E185" s="69" t="n"/>
      <c r="F185" s="69" t="n"/>
      <c r="G185" s="69" t="n"/>
    </row>
    <row r="186">
      <c r="A186" s="69" t="n"/>
      <c r="B186" s="72" t="n"/>
      <c r="C186" s="73" t="n"/>
      <c r="D186" s="69" t="n"/>
      <c r="E186" s="69" t="n"/>
      <c r="F186" s="69" t="n"/>
      <c r="G186" s="69" t="n"/>
    </row>
    <row r="187">
      <c r="A187" s="69" t="n"/>
      <c r="B187" s="72" t="n"/>
      <c r="C187" s="73" t="n"/>
      <c r="D187" s="69" t="n"/>
      <c r="E187" s="69" t="n"/>
      <c r="F187" s="69" t="n"/>
      <c r="G187" s="69" t="n"/>
    </row>
    <row r="188">
      <c r="A188" s="69" t="n"/>
      <c r="B188" s="72" t="n"/>
      <c r="C188" s="73" t="n"/>
      <c r="D188" s="69" t="n"/>
      <c r="E188" s="69" t="n"/>
      <c r="F188" s="69" t="n"/>
      <c r="G188" s="69" t="n"/>
    </row>
    <row r="189">
      <c r="A189" s="69" t="n"/>
      <c r="B189" s="72" t="n"/>
      <c r="C189" s="73" t="n"/>
      <c r="D189" s="69" t="n"/>
      <c r="E189" s="69" t="n"/>
      <c r="F189" s="69" t="n"/>
      <c r="G189" s="69" t="n"/>
    </row>
    <row r="190">
      <c r="A190" s="69" t="n"/>
      <c r="B190" s="72" t="n"/>
      <c r="C190" s="73" t="n"/>
      <c r="D190" s="69" t="n"/>
      <c r="E190" s="69" t="n"/>
      <c r="F190" s="69" t="n"/>
      <c r="G190" s="69" t="n"/>
    </row>
    <row r="191">
      <c r="A191" s="69" t="n"/>
      <c r="B191" s="72" t="n"/>
      <c r="C191" s="73" t="n"/>
      <c r="D191" s="69" t="n"/>
      <c r="E191" s="69" t="n"/>
      <c r="F191" s="69" t="n"/>
      <c r="G191" s="69" t="n"/>
    </row>
    <row r="192">
      <c r="A192" s="69" t="n"/>
      <c r="B192" s="72" t="n"/>
      <c r="C192" s="73" t="n"/>
      <c r="D192" s="69" t="n"/>
      <c r="E192" s="69" t="n"/>
      <c r="F192" s="69" t="n"/>
      <c r="G192" s="69" t="n"/>
    </row>
    <row r="193">
      <c r="A193" s="69" t="n"/>
      <c r="B193" s="72" t="n"/>
      <c r="C193" s="73" t="n"/>
      <c r="D193" s="69" t="n"/>
      <c r="E193" s="69" t="n"/>
      <c r="F193" s="69" t="n"/>
      <c r="G193" s="69" t="n"/>
    </row>
    <row r="194">
      <c r="A194" s="69" t="n"/>
      <c r="B194" s="72" t="n"/>
      <c r="C194" s="73" t="n"/>
      <c r="D194" s="69" t="n"/>
      <c r="E194" s="69" t="n"/>
      <c r="F194" s="69" t="n"/>
      <c r="G194" s="69" t="n"/>
    </row>
    <row r="195">
      <c r="A195" s="69" t="n"/>
      <c r="B195" s="72" t="n"/>
      <c r="C195" s="73" t="n"/>
      <c r="D195" s="69" t="n"/>
      <c r="E195" s="69" t="n"/>
      <c r="F195" s="69" t="n"/>
      <c r="G195" s="69" t="n"/>
    </row>
    <row r="196">
      <c r="A196" s="69" t="n"/>
      <c r="B196" s="72" t="n"/>
      <c r="C196" s="73" t="n"/>
      <c r="D196" s="69" t="n"/>
      <c r="E196" s="69" t="n"/>
      <c r="F196" s="69" t="n"/>
      <c r="G196" s="69" t="n"/>
    </row>
    <row r="197">
      <c r="A197" s="69" t="n"/>
      <c r="B197" s="72" t="n"/>
      <c r="C197" s="73" t="n"/>
      <c r="D197" s="69" t="n"/>
      <c r="E197" s="69" t="n"/>
      <c r="F197" s="69" t="n"/>
      <c r="G197" s="69" t="n"/>
    </row>
    <row r="198">
      <c r="A198" s="69" t="n"/>
      <c r="B198" s="72" t="n"/>
      <c r="C198" s="73" t="n"/>
      <c r="D198" s="69" t="n"/>
      <c r="E198" s="69" t="n"/>
      <c r="F198" s="69" t="n"/>
      <c r="G198" s="69" t="n"/>
    </row>
    <row r="199">
      <c r="A199" s="69" t="n"/>
      <c r="B199" s="72" t="n"/>
      <c r="C199" s="73" t="n"/>
      <c r="D199" s="69" t="n"/>
      <c r="E199" s="69" t="n"/>
      <c r="F199" s="69" t="n"/>
      <c r="G199" s="69" t="n"/>
    </row>
    <row r="200">
      <c r="A200" s="69" t="n"/>
      <c r="B200" s="72" t="n"/>
      <c r="C200" s="73" t="n"/>
      <c r="D200" s="69" t="n"/>
      <c r="E200" s="69" t="n"/>
      <c r="F200" s="69" t="n"/>
      <c r="G200" s="69" t="n"/>
    </row>
    <row r="201">
      <c r="A201" s="69" t="n"/>
      <c r="B201" s="72" t="n"/>
      <c r="C201" s="73" t="n"/>
      <c r="D201" s="69" t="n"/>
      <c r="E201" s="69" t="n"/>
      <c r="F201" s="69" t="n"/>
      <c r="G201" s="69" t="n"/>
    </row>
    <row r="202">
      <c r="A202" s="69" t="n"/>
      <c r="B202" s="72" t="n"/>
      <c r="C202" s="73" t="n"/>
      <c r="D202" s="69" t="n"/>
      <c r="E202" s="69" t="n"/>
      <c r="F202" s="69" t="n"/>
      <c r="G202" s="69" t="n"/>
    </row>
    <row r="203">
      <c r="A203" s="69" t="n"/>
      <c r="B203" s="72" t="n"/>
      <c r="C203" s="73" t="n"/>
      <c r="D203" s="69" t="n"/>
      <c r="E203" s="69" t="n"/>
      <c r="F203" s="69" t="n"/>
      <c r="G203" s="69" t="n"/>
    </row>
    <row r="204">
      <c r="A204" s="69" t="n"/>
      <c r="B204" s="72" t="n"/>
      <c r="C204" s="73" t="n"/>
      <c r="D204" s="69" t="n"/>
      <c r="E204" s="69" t="n"/>
      <c r="F204" s="69" t="n"/>
      <c r="G204" s="69" t="n"/>
    </row>
    <row r="205">
      <c r="A205" s="69" t="n"/>
      <c r="B205" s="72" t="n"/>
      <c r="C205" s="73" t="n"/>
      <c r="D205" s="69" t="n"/>
      <c r="E205" s="69" t="n"/>
      <c r="F205" s="69" t="n"/>
      <c r="G205" s="69" t="n"/>
    </row>
    <row r="206">
      <c r="A206" s="69" t="n"/>
      <c r="B206" s="72" t="n"/>
      <c r="C206" s="73" t="n"/>
      <c r="D206" s="69" t="n"/>
      <c r="E206" s="69" t="n"/>
      <c r="F206" s="69" t="n"/>
      <c r="G206" s="69" t="n"/>
    </row>
    <row r="207">
      <c r="A207" s="69" t="n"/>
      <c r="B207" s="72" t="n"/>
      <c r="C207" s="73" t="n"/>
      <c r="D207" s="69" t="n"/>
      <c r="E207" s="69" t="n"/>
      <c r="F207" s="69" t="n"/>
      <c r="G207" s="69" t="n"/>
    </row>
    <row r="208">
      <c r="A208" s="69" t="n"/>
      <c r="B208" s="72" t="n"/>
      <c r="C208" s="73" t="n"/>
      <c r="D208" s="69" t="n"/>
      <c r="E208" s="69" t="n"/>
      <c r="F208" s="69" t="n"/>
      <c r="G208" s="69" t="n"/>
    </row>
    <row r="209">
      <c r="A209" s="69" t="n"/>
      <c r="B209" s="72" t="n"/>
      <c r="C209" s="73" t="n"/>
      <c r="D209" s="69" t="n"/>
      <c r="E209" s="69" t="n"/>
      <c r="F209" s="69" t="n"/>
      <c r="G209" s="69" t="n"/>
    </row>
    <row r="210">
      <c r="A210" s="69" t="n"/>
      <c r="B210" s="72" t="n"/>
      <c r="C210" s="73" t="n"/>
      <c r="D210" s="69" t="n"/>
      <c r="E210" s="69" t="n"/>
      <c r="F210" s="69" t="n"/>
      <c r="G210" s="69" t="n"/>
    </row>
    <row r="211">
      <c r="A211" s="69" t="n"/>
      <c r="B211" s="72" t="n"/>
      <c r="C211" s="73" t="n"/>
      <c r="D211" s="69" t="n"/>
      <c r="E211" s="69" t="n"/>
      <c r="F211" s="69" t="n"/>
      <c r="G211" s="69" t="n"/>
    </row>
    <row r="212">
      <c r="A212" s="69" t="n"/>
      <c r="B212" s="72" t="n"/>
      <c r="C212" s="73" t="n"/>
      <c r="D212" s="69" t="n"/>
      <c r="E212" s="69" t="n"/>
      <c r="F212" s="69" t="n"/>
      <c r="G212" s="69" t="n"/>
    </row>
    <row r="213">
      <c r="A213" s="69" t="n"/>
      <c r="B213" s="72" t="n"/>
      <c r="C213" s="73" t="n"/>
      <c r="D213" s="69" t="n"/>
      <c r="E213" s="69" t="n"/>
      <c r="F213" s="69" t="n"/>
      <c r="G213" s="69" t="n"/>
    </row>
    <row r="214">
      <c r="A214" s="69" t="n"/>
      <c r="B214" s="72" t="n"/>
      <c r="C214" s="73" t="n"/>
      <c r="D214" s="69" t="n"/>
      <c r="E214" s="69" t="n"/>
      <c r="F214" s="69" t="n"/>
      <c r="G214" s="69" t="n"/>
    </row>
    <row r="215">
      <c r="A215" s="69" t="n"/>
      <c r="B215" s="72" t="n"/>
      <c r="C215" s="73" t="n"/>
      <c r="D215" s="69" t="n"/>
      <c r="E215" s="69" t="n"/>
      <c r="F215" s="69" t="n"/>
      <c r="G215" s="69" t="n"/>
    </row>
    <row r="216">
      <c r="A216" s="69" t="n"/>
      <c r="B216" s="72" t="n"/>
      <c r="C216" s="73" t="n"/>
      <c r="D216" s="69" t="n"/>
      <c r="E216" s="69" t="n"/>
      <c r="F216" s="69" t="n"/>
      <c r="G216" s="69" t="n"/>
    </row>
    <row r="217">
      <c r="A217" s="69" t="n"/>
      <c r="B217" s="72" t="n"/>
      <c r="C217" s="73" t="n"/>
      <c r="D217" s="69" t="n"/>
      <c r="E217" s="69" t="n"/>
      <c r="F217" s="69" t="n"/>
      <c r="G217" s="69" t="n"/>
    </row>
    <row r="218">
      <c r="A218" s="69" t="n"/>
      <c r="B218" s="72" t="n"/>
      <c r="C218" s="73" t="n"/>
      <c r="D218" s="69" t="n"/>
      <c r="E218" s="69" t="n"/>
      <c r="F218" s="69" t="n"/>
      <c r="G218" s="69" t="n"/>
    </row>
    <row r="219">
      <c r="A219" s="69" t="n"/>
      <c r="B219" s="72" t="n"/>
      <c r="C219" s="73" t="n"/>
      <c r="D219" s="69" t="n"/>
      <c r="E219" s="69" t="n"/>
      <c r="F219" s="69" t="n"/>
      <c r="G219" s="69" t="n"/>
    </row>
    <row r="220">
      <c r="A220" s="69" t="n"/>
      <c r="B220" s="72" t="n"/>
      <c r="C220" s="73" t="n"/>
      <c r="D220" s="69" t="n"/>
      <c r="E220" s="69" t="n"/>
      <c r="F220" s="69" t="n"/>
      <c r="G220" s="69" t="n"/>
    </row>
    <row r="221">
      <c r="A221" s="69" t="n"/>
      <c r="B221" s="72" t="n"/>
      <c r="C221" s="73" t="n"/>
      <c r="D221" s="69" t="n"/>
      <c r="E221" s="69" t="n"/>
      <c r="F221" s="69" t="n"/>
      <c r="G221" s="69" t="n"/>
    </row>
    <row r="222">
      <c r="A222" s="69" t="n"/>
      <c r="B222" s="72" t="n"/>
      <c r="C222" s="73" t="n"/>
      <c r="D222" s="69" t="n"/>
      <c r="E222" s="69" t="n"/>
      <c r="F222" s="69" t="n"/>
      <c r="G222" s="69" t="n"/>
    </row>
    <row r="223">
      <c r="A223" s="69" t="n"/>
      <c r="B223" s="72" t="n"/>
      <c r="C223" s="73" t="n"/>
      <c r="D223" s="69" t="n"/>
      <c r="E223" s="69" t="n"/>
      <c r="F223" s="69" t="n"/>
      <c r="G223" s="69" t="n"/>
    </row>
    <row r="224">
      <c r="A224" s="69" t="n"/>
      <c r="B224" s="72" t="n"/>
      <c r="C224" s="73" t="n"/>
      <c r="D224" s="69" t="n"/>
      <c r="E224" s="69" t="n"/>
      <c r="F224" s="69" t="n"/>
      <c r="G224" s="69" t="n"/>
    </row>
    <row r="225">
      <c r="A225" s="69" t="n"/>
      <c r="B225" s="72" t="n"/>
      <c r="C225" s="73" t="n"/>
      <c r="D225" s="69" t="n"/>
      <c r="E225" s="69" t="n"/>
      <c r="F225" s="69" t="n"/>
      <c r="G225" s="69" t="n"/>
    </row>
    <row r="226">
      <c r="A226" s="69" t="n"/>
      <c r="B226" s="72" t="n"/>
      <c r="C226" s="73" t="n"/>
      <c r="D226" s="69" t="n"/>
      <c r="E226" s="69" t="n"/>
      <c r="F226" s="69" t="n"/>
      <c r="G226" s="69" t="n"/>
    </row>
    <row r="227">
      <c r="A227" s="69" t="n"/>
      <c r="B227" s="72" t="n"/>
      <c r="C227" s="73" t="n"/>
      <c r="D227" s="69" t="n"/>
      <c r="E227" s="69" t="n"/>
      <c r="F227" s="69" t="n"/>
      <c r="G227" s="69" t="n"/>
    </row>
    <row r="228">
      <c r="A228" s="69" t="n"/>
      <c r="B228" s="72" t="n"/>
      <c r="C228" s="73" t="n"/>
      <c r="D228" s="69" t="n"/>
      <c r="E228" s="69" t="n"/>
      <c r="F228" s="69" t="n"/>
      <c r="G228" s="69" t="n"/>
    </row>
    <row r="229">
      <c r="A229" s="69" t="n"/>
      <c r="B229" s="72" t="n"/>
      <c r="C229" s="73" t="n"/>
      <c r="D229" s="69" t="n"/>
      <c r="E229" s="69" t="n"/>
      <c r="F229" s="69" t="n"/>
      <c r="G229" s="69" t="n"/>
    </row>
    <row r="230">
      <c r="A230" s="69" t="n"/>
      <c r="B230" s="72" t="n"/>
      <c r="C230" s="73" t="n"/>
      <c r="D230" s="69" t="n"/>
      <c r="E230" s="69" t="n"/>
      <c r="F230" s="69" t="n"/>
      <c r="G230" s="69" t="n"/>
    </row>
    <row r="231">
      <c r="A231" s="69" t="n"/>
      <c r="B231" s="72" t="n"/>
      <c r="C231" s="73" t="n"/>
      <c r="D231" s="69" t="n"/>
      <c r="E231" s="69" t="n"/>
      <c r="F231" s="69" t="n"/>
      <c r="G231" s="69" t="n"/>
    </row>
    <row r="232">
      <c r="A232" s="69" t="n"/>
      <c r="B232" s="72" t="n"/>
      <c r="C232" s="73" t="n"/>
      <c r="D232" s="69" t="n"/>
      <c r="E232" s="69" t="n"/>
      <c r="F232" s="69" t="n"/>
      <c r="G232" s="69" t="n"/>
    </row>
    <row r="233">
      <c r="A233" s="69" t="n"/>
      <c r="B233" s="72" t="n"/>
      <c r="C233" s="73" t="n"/>
      <c r="D233" s="69" t="n"/>
      <c r="E233" s="69" t="n"/>
      <c r="F233" s="69" t="n"/>
      <c r="G233" s="69" t="n"/>
    </row>
    <row r="234">
      <c r="A234" s="69" t="n"/>
      <c r="B234" s="72" t="n"/>
      <c r="C234" s="73" t="n"/>
      <c r="D234" s="69" t="n"/>
      <c r="E234" s="69" t="n"/>
      <c r="F234" s="69" t="n"/>
      <c r="G234" s="69" t="n"/>
    </row>
    <row r="235">
      <c r="A235" s="69" t="n"/>
      <c r="B235" s="72" t="n"/>
      <c r="C235" s="73" t="n"/>
      <c r="D235" s="69" t="n"/>
      <c r="E235" s="69" t="n"/>
      <c r="F235" s="69" t="n"/>
      <c r="G235" s="69" t="n"/>
    </row>
    <row r="236">
      <c r="A236" s="69" t="n"/>
      <c r="B236" s="72" t="n"/>
      <c r="C236" s="73" t="n"/>
      <c r="D236" s="69" t="n"/>
      <c r="E236" s="69" t="n"/>
      <c r="F236" s="69" t="n"/>
      <c r="G236" s="69" t="n"/>
    </row>
    <row r="237">
      <c r="A237" s="69" t="n"/>
      <c r="B237" s="72" t="n"/>
      <c r="C237" s="73" t="n"/>
      <c r="D237" s="69" t="n"/>
      <c r="E237" s="69" t="n"/>
      <c r="F237" s="69" t="n"/>
      <c r="G237" s="69" t="n"/>
    </row>
    <row r="238">
      <c r="A238" s="69" t="n"/>
      <c r="B238" s="72" t="n"/>
      <c r="C238" s="73" t="n"/>
      <c r="D238" s="69" t="n"/>
      <c r="E238" s="69" t="n"/>
      <c r="F238" s="69" t="n"/>
      <c r="G238" s="69" t="n"/>
    </row>
    <row r="239">
      <c r="A239" s="69" t="n"/>
      <c r="B239" s="72" t="n"/>
      <c r="C239" s="73" t="n"/>
      <c r="D239" s="69" t="n"/>
      <c r="E239" s="69" t="n"/>
      <c r="F239" s="69" t="n"/>
      <c r="G239" s="69" t="n"/>
    </row>
    <row r="240">
      <c r="A240" s="69" t="n"/>
      <c r="B240" s="72" t="n"/>
      <c r="C240" s="73" t="n"/>
      <c r="D240" s="69" t="n"/>
      <c r="E240" s="69" t="n"/>
      <c r="F240" s="69" t="n"/>
      <c r="G240" s="69" t="n"/>
    </row>
    <row r="241">
      <c r="A241" s="69" t="n"/>
      <c r="B241" s="72" t="n"/>
      <c r="C241" s="73" t="n"/>
      <c r="D241" s="69" t="n"/>
      <c r="E241" s="69" t="n"/>
      <c r="F241" s="69" t="n"/>
      <c r="G241" s="69" t="n"/>
    </row>
    <row r="242">
      <c r="A242" s="69" t="n"/>
      <c r="B242" s="72" t="n"/>
      <c r="C242" s="73" t="n"/>
      <c r="D242" s="69" t="n"/>
      <c r="E242" s="69" t="n"/>
      <c r="F242" s="69" t="n"/>
      <c r="G242" s="69" t="n"/>
    </row>
    <row r="243">
      <c r="A243" s="69" t="n"/>
      <c r="B243" s="72" t="n"/>
      <c r="C243" s="73" t="n"/>
      <c r="D243" s="69" t="n"/>
      <c r="E243" s="69" t="n"/>
      <c r="F243" s="69" t="n"/>
      <c r="G243" s="69" t="n"/>
    </row>
    <row r="244">
      <c r="A244" s="69" t="n"/>
      <c r="B244" s="72" t="n"/>
      <c r="C244" s="73" t="n"/>
      <c r="D244" s="69" t="n"/>
      <c r="E244" s="69" t="n"/>
      <c r="F244" s="69" t="n"/>
      <c r="G244" s="69" t="n"/>
    </row>
    <row r="245">
      <c r="A245" s="69" t="n"/>
      <c r="B245" s="72" t="n"/>
      <c r="C245" s="73" t="n"/>
      <c r="D245" s="69" t="n"/>
      <c r="E245" s="69" t="n"/>
      <c r="F245" s="69" t="n"/>
      <c r="G245" s="69" t="n"/>
    </row>
    <row r="246">
      <c r="A246" s="69" t="n"/>
      <c r="B246" s="72" t="n"/>
      <c r="C246" s="73" t="n"/>
      <c r="D246" s="69" t="n"/>
      <c r="E246" s="69" t="n"/>
      <c r="F246" s="69" t="n"/>
      <c r="G246" s="69" t="n"/>
    </row>
    <row r="247">
      <c r="A247" s="69" t="n"/>
      <c r="B247" s="72" t="n"/>
      <c r="C247" s="73" t="n"/>
      <c r="D247" s="69" t="n"/>
      <c r="E247" s="69" t="n"/>
      <c r="F247" s="69" t="n"/>
      <c r="G247" s="69" t="n"/>
    </row>
    <row r="248">
      <c r="A248" s="69" t="n"/>
      <c r="B248" s="72" t="n"/>
      <c r="C248" s="73" t="n"/>
      <c r="D248" s="69" t="n"/>
      <c r="E248" s="69" t="n"/>
      <c r="F248" s="69" t="n"/>
      <c r="G248" s="69" t="n"/>
    </row>
    <row r="249">
      <c r="A249" s="69" t="n"/>
      <c r="B249" s="72" t="n"/>
      <c r="C249" s="73" t="n"/>
      <c r="D249" s="69" t="n"/>
      <c r="E249" s="69" t="n"/>
      <c r="F249" s="69" t="n"/>
      <c r="G249" s="69" t="n"/>
    </row>
    <row r="250">
      <c r="A250" s="69" t="n"/>
      <c r="B250" s="72" t="n"/>
      <c r="C250" s="73" t="n"/>
      <c r="D250" s="69" t="n"/>
      <c r="E250" s="69" t="n"/>
      <c r="F250" s="69" t="n"/>
      <c r="G250" s="69" t="n"/>
    </row>
    <row r="251">
      <c r="A251" s="69" t="n"/>
      <c r="B251" s="72" t="n"/>
      <c r="C251" s="73" t="n"/>
      <c r="D251" s="69" t="n"/>
      <c r="E251" s="69" t="n"/>
      <c r="F251" s="69" t="n"/>
      <c r="G251" s="69" t="n"/>
    </row>
    <row r="252">
      <c r="A252" s="69" t="n"/>
      <c r="B252" s="72" t="n"/>
      <c r="C252" s="73" t="n"/>
      <c r="D252" s="69" t="n"/>
      <c r="E252" s="69" t="n"/>
      <c r="F252" s="69" t="n"/>
      <c r="G252" s="69" t="n"/>
    </row>
    <row r="253">
      <c r="A253" s="69" t="n"/>
      <c r="B253" s="72" t="n"/>
      <c r="C253" s="73" t="n"/>
      <c r="D253" s="69" t="n"/>
      <c r="E253" s="69" t="n"/>
      <c r="F253" s="69" t="n"/>
      <c r="G253" s="69" t="n"/>
    </row>
    <row r="254">
      <c r="A254" s="69" t="n"/>
      <c r="B254" s="72" t="n"/>
      <c r="C254" s="73" t="n"/>
      <c r="D254" s="69" t="n"/>
      <c r="E254" s="69" t="n"/>
      <c r="F254" s="69" t="n"/>
      <c r="G254" s="69" t="n"/>
    </row>
    <row r="255">
      <c r="A255" s="69" t="n"/>
      <c r="B255" s="72" t="n"/>
      <c r="C255" s="73" t="n"/>
      <c r="D255" s="69" t="n"/>
      <c r="E255" s="69" t="n"/>
      <c r="F255" s="69" t="n"/>
      <c r="G255" s="69" t="n"/>
    </row>
    <row r="256">
      <c r="A256" s="69" t="n"/>
      <c r="B256" s="72" t="n"/>
      <c r="C256" s="73" t="n"/>
      <c r="D256" s="69" t="n"/>
      <c r="E256" s="69" t="n"/>
      <c r="F256" s="69" t="n"/>
      <c r="G256" s="69" t="n"/>
    </row>
    <row r="257">
      <c r="A257" s="69" t="n"/>
      <c r="B257" s="72" t="n"/>
      <c r="C257" s="73" t="n"/>
      <c r="D257" s="69" t="n"/>
      <c r="E257" s="69" t="n"/>
      <c r="F257" s="69" t="n"/>
      <c r="G257" s="69" t="n"/>
    </row>
    <row r="258">
      <c r="A258" s="69" t="n"/>
      <c r="B258" s="72" t="n"/>
      <c r="C258" s="73" t="n"/>
      <c r="D258" s="69" t="n"/>
      <c r="E258" s="69" t="n"/>
      <c r="F258" s="69" t="n"/>
      <c r="G258" s="69" t="n"/>
    </row>
    <row r="259">
      <c r="A259" s="69" t="n"/>
      <c r="B259" s="72" t="n"/>
      <c r="C259" s="73" t="n"/>
      <c r="D259" s="69" t="n"/>
      <c r="E259" s="69" t="n"/>
      <c r="F259" s="69" t="n"/>
      <c r="G259" s="69" t="n"/>
    </row>
    <row r="260">
      <c r="A260" s="69" t="n"/>
      <c r="B260" s="72" t="n"/>
      <c r="C260" s="73" t="n"/>
      <c r="D260" s="69" t="n"/>
      <c r="E260" s="69" t="n"/>
      <c r="F260" s="69" t="n"/>
      <c r="G260" s="69" t="n"/>
    </row>
    <row r="261">
      <c r="A261" s="69" t="n"/>
      <c r="B261" s="72" t="n"/>
      <c r="C261" s="73" t="n"/>
      <c r="D261" s="69" t="n"/>
      <c r="E261" s="69" t="n"/>
      <c r="F261" s="69" t="n"/>
      <c r="G261" s="69" t="n"/>
    </row>
    <row r="262">
      <c r="A262" s="69" t="n"/>
      <c r="B262" s="72" t="n"/>
      <c r="C262" s="73" t="n"/>
      <c r="D262" s="69" t="n"/>
      <c r="E262" s="69" t="n"/>
      <c r="F262" s="69" t="n"/>
      <c r="G262" s="69" t="n"/>
    </row>
    <row r="263">
      <c r="A263" s="69" t="n"/>
      <c r="B263" s="72" t="n"/>
      <c r="C263" s="73" t="n"/>
      <c r="D263" s="69" t="n"/>
      <c r="E263" s="69" t="n"/>
      <c r="F263" s="69" t="n"/>
      <c r="G263" s="69" t="n"/>
    </row>
    <row r="264">
      <c r="A264" s="69" t="n"/>
      <c r="B264" s="72" t="n"/>
      <c r="C264" s="73" t="n"/>
      <c r="D264" s="69" t="n"/>
      <c r="E264" s="69" t="n"/>
      <c r="F264" s="69" t="n"/>
      <c r="G264" s="69" t="n"/>
    </row>
    <row r="265">
      <c r="A265" s="69" t="n"/>
      <c r="B265" s="72" t="n"/>
      <c r="C265" s="73" t="n"/>
      <c r="D265" s="69" t="n"/>
      <c r="E265" s="69" t="n"/>
      <c r="F265" s="69" t="n"/>
      <c r="G265" s="69" t="n"/>
    </row>
    <row r="266">
      <c r="A266" s="69" t="n"/>
      <c r="B266" s="72" t="n"/>
      <c r="C266" s="73" t="n"/>
      <c r="D266" s="69" t="n"/>
      <c r="E266" s="69" t="n"/>
      <c r="F266" s="69" t="n"/>
      <c r="G266" s="69" t="n"/>
    </row>
    <row r="267">
      <c r="A267" s="69" t="n"/>
      <c r="B267" s="72" t="n"/>
      <c r="C267" s="73" t="n"/>
      <c r="D267" s="69" t="n"/>
      <c r="E267" s="69" t="n"/>
      <c r="F267" s="69" t="n"/>
      <c r="G267" s="69" t="n"/>
    </row>
    <row r="268">
      <c r="A268" s="69" t="n"/>
      <c r="B268" s="72" t="n"/>
      <c r="C268" s="73" t="n"/>
      <c r="D268" s="69" t="n"/>
      <c r="E268" s="69" t="n"/>
      <c r="F268" s="69" t="n"/>
      <c r="G268" s="69" t="n"/>
    </row>
    <row r="269">
      <c r="A269" s="69" t="n"/>
      <c r="B269" s="72" t="n"/>
      <c r="C269" s="73" t="n"/>
      <c r="D269" s="69" t="n"/>
      <c r="E269" s="69" t="n"/>
      <c r="F269" s="69" t="n"/>
      <c r="G269" s="69" t="n"/>
    </row>
    <row r="270">
      <c r="A270" s="69" t="n"/>
      <c r="B270" s="72" t="n"/>
      <c r="C270" s="73" t="n"/>
      <c r="D270" s="69" t="n"/>
      <c r="E270" s="69" t="n"/>
      <c r="F270" s="69" t="n"/>
      <c r="G270" s="69" t="n"/>
    </row>
    <row r="271">
      <c r="A271" s="69" t="n"/>
      <c r="B271" s="72" t="n"/>
      <c r="C271" s="73" t="n"/>
      <c r="D271" s="69" t="n"/>
      <c r="E271" s="69" t="n"/>
      <c r="F271" s="69" t="n"/>
      <c r="G271" s="69" t="n"/>
    </row>
    <row r="272">
      <c r="A272" s="69" t="n"/>
      <c r="B272" s="72" t="n"/>
      <c r="C272" s="73" t="n"/>
      <c r="D272" s="69" t="n"/>
      <c r="E272" s="69" t="n"/>
      <c r="F272" s="69" t="n"/>
      <c r="G272" s="69" t="n"/>
    </row>
    <row r="273">
      <c r="A273" s="69" t="n"/>
      <c r="B273" s="72" t="n"/>
      <c r="C273" s="73" t="n"/>
      <c r="D273" s="69" t="n"/>
      <c r="E273" s="69" t="n"/>
      <c r="F273" s="69" t="n"/>
      <c r="G273" s="69" t="n"/>
    </row>
    <row r="274">
      <c r="A274" s="69" t="n"/>
      <c r="B274" s="72" t="n"/>
      <c r="C274" s="73" t="n"/>
      <c r="D274" s="69" t="n"/>
      <c r="E274" s="69" t="n"/>
      <c r="F274" s="69" t="n"/>
      <c r="G274" s="69" t="n"/>
    </row>
    <row r="275">
      <c r="A275" s="69" t="n"/>
      <c r="B275" s="72" t="n"/>
      <c r="C275" s="73" t="n"/>
      <c r="D275" s="69" t="n"/>
      <c r="E275" s="69" t="n"/>
      <c r="F275" s="69" t="n"/>
      <c r="G275" s="69" t="n"/>
    </row>
    <row r="276">
      <c r="A276" s="69" t="n"/>
      <c r="B276" s="72" t="n"/>
      <c r="C276" s="73" t="n"/>
      <c r="D276" s="69" t="n"/>
      <c r="E276" s="69" t="n"/>
      <c r="F276" s="69" t="n"/>
      <c r="G276" s="69" t="n"/>
    </row>
    <row r="277">
      <c r="A277" s="69" t="n"/>
      <c r="B277" s="72" t="n"/>
      <c r="C277" s="73" t="n"/>
      <c r="D277" s="69" t="n"/>
      <c r="E277" s="69" t="n"/>
      <c r="F277" s="69" t="n"/>
      <c r="G277" s="69" t="n"/>
    </row>
    <row r="278">
      <c r="A278" s="69" t="n"/>
      <c r="B278" s="72" t="n"/>
      <c r="C278" s="73" t="n"/>
      <c r="D278" s="69" t="n"/>
      <c r="E278" s="69" t="n"/>
      <c r="F278" s="69" t="n"/>
      <c r="G278" s="69" t="n"/>
    </row>
    <row r="279">
      <c r="A279" s="69" t="n"/>
      <c r="B279" s="72" t="n"/>
      <c r="C279" s="73" t="n"/>
      <c r="D279" s="69" t="n"/>
      <c r="E279" s="69" t="n"/>
      <c r="F279" s="69" t="n"/>
      <c r="G279" s="69" t="n"/>
    </row>
    <row r="280">
      <c r="A280" s="69" t="n"/>
      <c r="B280" s="72" t="n"/>
      <c r="C280" s="73" t="n"/>
      <c r="D280" s="69" t="n"/>
      <c r="E280" s="69" t="n"/>
      <c r="F280" s="69" t="n"/>
      <c r="G280" s="69" t="n"/>
    </row>
    <row r="281">
      <c r="A281" s="69" t="n"/>
      <c r="B281" s="72" t="n"/>
      <c r="C281" s="73" t="n"/>
      <c r="D281" s="69" t="n"/>
      <c r="E281" s="69" t="n"/>
      <c r="F281" s="69" t="n"/>
      <c r="G281" s="69" t="n"/>
    </row>
    <row r="282">
      <c r="A282" s="69" t="n"/>
      <c r="B282" s="72" t="n"/>
      <c r="C282" s="73" t="n"/>
      <c r="D282" s="69" t="n"/>
      <c r="E282" s="69" t="n"/>
      <c r="F282" s="69" t="n"/>
      <c r="G282" s="69" t="n"/>
    </row>
    <row r="283">
      <c r="A283" s="69" t="n"/>
      <c r="B283" s="72" t="n"/>
      <c r="C283" s="73" t="n"/>
      <c r="D283" s="69" t="n"/>
      <c r="E283" s="69" t="n"/>
      <c r="F283" s="69" t="n"/>
      <c r="G283" s="69" t="n"/>
    </row>
    <row r="284">
      <c r="A284" s="69" t="n"/>
      <c r="B284" s="72" t="n"/>
      <c r="C284" s="73" t="n"/>
      <c r="D284" s="69" t="n"/>
      <c r="E284" s="69" t="n"/>
      <c r="F284" s="69" t="n"/>
      <c r="G284" s="69" t="n"/>
    </row>
    <row r="285">
      <c r="A285" s="69" t="n"/>
      <c r="B285" s="72" t="n"/>
      <c r="C285" s="73" t="n"/>
      <c r="D285" s="69" t="n"/>
      <c r="E285" s="69" t="n"/>
      <c r="F285" s="69" t="n"/>
      <c r="G285" s="69" t="n"/>
    </row>
    <row r="286">
      <c r="A286" s="69" t="n"/>
      <c r="B286" s="72" t="n"/>
      <c r="C286" s="73" t="n"/>
      <c r="D286" s="69" t="n"/>
      <c r="E286" s="69" t="n"/>
      <c r="F286" s="69" t="n"/>
      <c r="G286" s="69" t="n"/>
    </row>
    <row r="287">
      <c r="A287" s="69" t="n"/>
      <c r="B287" s="72" t="n"/>
      <c r="C287" s="73" t="n"/>
      <c r="D287" s="69" t="n"/>
      <c r="E287" s="69" t="n"/>
      <c r="F287" s="69" t="n"/>
      <c r="G287" s="69" t="n"/>
    </row>
    <row r="288">
      <c r="A288" s="69" t="n"/>
      <c r="B288" s="72" t="n"/>
      <c r="C288" s="73" t="n"/>
      <c r="D288" s="69" t="n"/>
      <c r="E288" s="69" t="n"/>
      <c r="F288" s="69" t="n"/>
      <c r="G288" s="69" t="n"/>
    </row>
    <row r="289">
      <c r="A289" s="69" t="n"/>
      <c r="B289" s="72" t="n"/>
      <c r="C289" s="73" t="n"/>
      <c r="D289" s="69" t="n"/>
      <c r="E289" s="69" t="n"/>
      <c r="F289" s="69" t="n"/>
      <c r="G289" s="69" t="n"/>
    </row>
    <row r="290">
      <c r="A290" s="69" t="n"/>
      <c r="B290" s="72" t="n"/>
      <c r="C290" s="73" t="n"/>
      <c r="D290" s="69" t="n"/>
      <c r="E290" s="69" t="n"/>
      <c r="F290" s="69" t="n"/>
      <c r="G290" s="69" t="n"/>
    </row>
    <row r="291">
      <c r="A291" s="69" t="n"/>
      <c r="B291" s="72" t="n"/>
      <c r="C291" s="73" t="n"/>
      <c r="D291" s="69" t="n"/>
      <c r="E291" s="69" t="n"/>
      <c r="F291" s="69" t="n"/>
      <c r="G291" s="69" t="n"/>
    </row>
    <row r="292">
      <c r="A292" s="69" t="n"/>
      <c r="B292" s="72" t="n"/>
      <c r="C292" s="73" t="n"/>
      <c r="D292" s="69" t="n"/>
      <c r="E292" s="69" t="n"/>
      <c r="F292" s="69" t="n"/>
      <c r="G292" s="69" t="n"/>
    </row>
    <row r="293">
      <c r="A293" s="69" t="n"/>
      <c r="B293" s="72" t="n"/>
      <c r="C293" s="73" t="n"/>
      <c r="D293" s="69" t="n"/>
      <c r="E293" s="69" t="n"/>
      <c r="F293" s="69" t="n"/>
      <c r="G293" s="69" t="n"/>
    </row>
    <row r="294">
      <c r="A294" s="69" t="n"/>
      <c r="B294" s="72" t="n"/>
      <c r="C294" s="73" t="n"/>
      <c r="D294" s="69" t="n"/>
      <c r="E294" s="69" t="n"/>
      <c r="F294" s="69" t="n"/>
      <c r="G294" s="69" t="n"/>
    </row>
    <row r="295">
      <c r="A295" s="69" t="n"/>
      <c r="B295" s="72" t="n"/>
      <c r="C295" s="73" t="n"/>
      <c r="D295" s="69" t="n"/>
      <c r="E295" s="69" t="n"/>
      <c r="F295" s="69" t="n"/>
      <c r="G295" s="69" t="n"/>
    </row>
    <row r="296">
      <c r="A296" s="69" t="n"/>
      <c r="B296" s="72" t="n"/>
      <c r="C296" s="73" t="n"/>
      <c r="D296" s="69" t="n"/>
      <c r="E296" s="69" t="n"/>
      <c r="F296" s="69" t="n"/>
      <c r="G296" s="69" t="n"/>
    </row>
    <row r="297">
      <c r="A297" s="69" t="n"/>
      <c r="B297" s="72" t="n"/>
      <c r="C297" s="73" t="n"/>
      <c r="D297" s="69" t="n"/>
      <c r="E297" s="69" t="n"/>
      <c r="F297" s="69" t="n"/>
      <c r="G297" s="69" t="n"/>
    </row>
    <row r="298">
      <c r="A298" s="69" t="n"/>
      <c r="B298" s="72" t="n"/>
      <c r="C298" s="73" t="n"/>
      <c r="D298" s="69" t="n"/>
      <c r="E298" s="69" t="n"/>
      <c r="F298" s="69" t="n"/>
      <c r="G298" s="69" t="n"/>
    </row>
    <row r="299">
      <c r="A299" s="69" t="n"/>
      <c r="B299" s="72" t="n"/>
      <c r="C299" s="73" t="n"/>
      <c r="D299" s="69" t="n"/>
      <c r="E299" s="69" t="n"/>
      <c r="F299" s="69" t="n"/>
      <c r="G299" s="69" t="n"/>
    </row>
    <row r="300">
      <c r="A300" s="69" t="n"/>
      <c r="B300" s="72" t="n"/>
      <c r="C300" s="73" t="n"/>
      <c r="D300" s="69" t="n"/>
      <c r="E300" s="69" t="n"/>
      <c r="F300" s="69" t="n"/>
      <c r="G300" s="69" t="n"/>
    </row>
    <row r="301">
      <c r="A301" s="69" t="n"/>
      <c r="B301" s="72" t="n"/>
      <c r="C301" s="73" t="n"/>
      <c r="D301" s="69" t="n"/>
      <c r="E301" s="69" t="n"/>
      <c r="F301" s="69" t="n"/>
      <c r="G301" s="69" t="n"/>
    </row>
    <row r="302">
      <c r="A302" s="69" t="n"/>
      <c r="B302" s="72" t="n"/>
      <c r="C302" s="73" t="n"/>
      <c r="D302" s="69" t="n"/>
      <c r="E302" s="69" t="n"/>
      <c r="F302" s="69" t="n"/>
      <c r="G302" s="69" t="n"/>
    </row>
    <row r="303">
      <c r="A303" s="69" t="n"/>
      <c r="B303" s="72" t="n"/>
      <c r="C303" s="73" t="n"/>
      <c r="D303" s="69" t="n"/>
      <c r="E303" s="69" t="n"/>
      <c r="F303" s="69" t="n"/>
      <c r="G303" s="69" t="n"/>
    </row>
    <row r="304">
      <c r="A304" s="69" t="n"/>
      <c r="B304" s="72" t="n"/>
      <c r="C304" s="73" t="n"/>
      <c r="D304" s="69" t="n"/>
      <c r="E304" s="69" t="n"/>
      <c r="F304" s="69" t="n"/>
      <c r="G304" s="69" t="n"/>
    </row>
    <row r="305">
      <c r="A305" s="69" t="n"/>
      <c r="B305" s="72" t="n"/>
      <c r="C305" s="73" t="n"/>
      <c r="D305" s="69" t="n"/>
      <c r="E305" s="69" t="n"/>
      <c r="F305" s="69" t="n"/>
      <c r="G305" s="69" t="n"/>
    </row>
    <row r="306">
      <c r="A306" s="69" t="n"/>
      <c r="B306" s="72" t="n"/>
      <c r="C306" s="73" t="n"/>
      <c r="D306" s="69" t="n"/>
      <c r="E306" s="69" t="n"/>
      <c r="F306" s="69" t="n"/>
      <c r="G306" s="69" t="n"/>
    </row>
    <row r="307">
      <c r="A307" s="69" t="n"/>
      <c r="B307" s="72" t="n"/>
      <c r="C307" s="73" t="n"/>
      <c r="D307" s="69" t="n"/>
      <c r="E307" s="69" t="n"/>
      <c r="F307" s="69" t="n"/>
      <c r="G307" s="69" t="n"/>
    </row>
    <row r="308">
      <c r="A308" s="69" t="n"/>
      <c r="B308" s="72" t="n"/>
      <c r="C308" s="73" t="n"/>
      <c r="D308" s="69" t="n"/>
      <c r="E308" s="69" t="n"/>
      <c r="F308" s="69" t="n"/>
      <c r="G308" s="69" t="n"/>
    </row>
    <row r="309">
      <c r="A309" s="69" t="n"/>
      <c r="B309" s="72" t="n"/>
      <c r="C309" s="73" t="n"/>
      <c r="D309" s="69" t="n"/>
      <c r="E309" s="69" t="n"/>
      <c r="F309" s="69" t="n"/>
      <c r="G309" s="69" t="n"/>
    </row>
    <row r="310">
      <c r="A310" s="69" t="n"/>
      <c r="B310" s="72" t="n"/>
      <c r="C310" s="73" t="n"/>
      <c r="D310" s="69" t="n"/>
      <c r="E310" s="69" t="n"/>
      <c r="F310" s="69" t="n"/>
      <c r="G310" s="69" t="n"/>
    </row>
    <row r="311">
      <c r="A311" s="69" t="n"/>
      <c r="B311" s="72" t="n"/>
      <c r="C311" s="73" t="n"/>
      <c r="D311" s="69" t="n"/>
      <c r="E311" s="69" t="n"/>
      <c r="F311" s="69" t="n"/>
      <c r="G311" s="69" t="n"/>
    </row>
    <row r="312">
      <c r="A312" s="69" t="n"/>
      <c r="B312" s="72" t="n"/>
      <c r="C312" s="73" t="n"/>
      <c r="D312" s="69" t="n"/>
      <c r="E312" s="69" t="n"/>
      <c r="F312" s="69" t="n"/>
      <c r="G312" s="69" t="n"/>
    </row>
    <row r="313">
      <c r="A313" s="69" t="n"/>
      <c r="B313" s="72" t="n"/>
      <c r="C313" s="73" t="n"/>
      <c r="D313" s="69" t="n"/>
      <c r="E313" s="69" t="n"/>
      <c r="F313" s="69" t="n"/>
      <c r="G313" s="69" t="n"/>
    </row>
    <row r="314">
      <c r="A314" s="69" t="n"/>
      <c r="B314" s="72" t="n"/>
      <c r="C314" s="73" t="n"/>
      <c r="D314" s="69" t="n"/>
      <c r="E314" s="69" t="n"/>
      <c r="F314" s="69" t="n"/>
      <c r="G314" s="69" t="n"/>
    </row>
    <row r="315">
      <c r="A315" s="69" t="n"/>
      <c r="B315" s="72" t="n"/>
      <c r="C315" s="73" t="n"/>
      <c r="D315" s="69" t="n"/>
      <c r="E315" s="69" t="n"/>
      <c r="F315" s="69" t="n"/>
      <c r="G315" s="69" t="n"/>
    </row>
    <row r="316">
      <c r="A316" s="69" t="n"/>
      <c r="B316" s="72" t="n"/>
      <c r="C316" s="73" t="n"/>
      <c r="D316" s="69" t="n"/>
      <c r="E316" s="69" t="n"/>
      <c r="F316" s="69" t="n"/>
      <c r="G316" s="69" t="n"/>
    </row>
    <row r="317">
      <c r="A317" s="69" t="n"/>
      <c r="B317" s="72" t="n"/>
      <c r="C317" s="73" t="n"/>
      <c r="D317" s="69" t="n"/>
      <c r="E317" s="69" t="n"/>
      <c r="F317" s="69" t="n"/>
      <c r="G317" s="69" t="n"/>
    </row>
    <row r="318">
      <c r="A318" s="69" t="n"/>
      <c r="B318" s="72" t="n"/>
      <c r="C318" s="73" t="n"/>
      <c r="D318" s="69" t="n"/>
      <c r="E318" s="69" t="n"/>
      <c r="F318" s="69" t="n"/>
      <c r="G318" s="69" t="n"/>
    </row>
    <row r="319">
      <c r="A319" s="69" t="n"/>
      <c r="B319" s="72" t="n"/>
      <c r="C319" s="73" t="n"/>
      <c r="D319" s="69" t="n"/>
      <c r="E319" s="69" t="n"/>
      <c r="F319" s="69" t="n"/>
      <c r="G319" s="69" t="n"/>
    </row>
    <row r="320">
      <c r="A320" s="69" t="n"/>
      <c r="B320" s="72" t="n"/>
      <c r="C320" s="73" t="n"/>
      <c r="D320" s="69" t="n"/>
      <c r="E320" s="69" t="n"/>
      <c r="F320" s="69" t="n"/>
      <c r="G320" s="69" t="n"/>
    </row>
    <row r="321">
      <c r="A321" s="69" t="n"/>
      <c r="B321" s="72" t="n"/>
      <c r="C321" s="73" t="n"/>
      <c r="D321" s="69" t="n"/>
      <c r="E321" s="69" t="n"/>
      <c r="F321" s="69" t="n"/>
      <c r="G321" s="69" t="n"/>
    </row>
    <row r="322">
      <c r="A322" s="69" t="n"/>
      <c r="B322" s="72" t="n"/>
      <c r="C322" s="73" t="n"/>
      <c r="D322" s="69" t="n"/>
      <c r="E322" s="69" t="n"/>
      <c r="F322" s="69" t="n"/>
      <c r="G322" s="69" t="n"/>
    </row>
    <row r="323">
      <c r="A323" s="69" t="n"/>
      <c r="B323" s="72" t="n"/>
      <c r="C323" s="73" t="n"/>
      <c r="D323" s="69" t="n"/>
      <c r="E323" s="69" t="n"/>
      <c r="F323" s="69" t="n"/>
      <c r="G323" s="69" t="n"/>
    </row>
    <row r="324">
      <c r="A324" s="69" t="n"/>
      <c r="B324" s="72" t="n"/>
      <c r="C324" s="73" t="n"/>
      <c r="D324" s="69" t="n"/>
      <c r="E324" s="69" t="n"/>
      <c r="F324" s="69" t="n"/>
      <c r="G324" s="69" t="n"/>
    </row>
    <row r="325">
      <c r="A325" s="69" t="n"/>
      <c r="B325" s="72" t="n"/>
      <c r="C325" s="73" t="n"/>
      <c r="D325" s="69" t="n"/>
      <c r="E325" s="69" t="n"/>
      <c r="F325" s="69" t="n"/>
      <c r="G325" s="69" t="n"/>
    </row>
    <row r="326">
      <c r="A326" s="69" t="n"/>
      <c r="B326" s="72" t="n"/>
      <c r="C326" s="73" t="n"/>
      <c r="D326" s="69" t="n"/>
      <c r="E326" s="69" t="n"/>
      <c r="F326" s="69" t="n"/>
      <c r="G326" s="69" t="n"/>
    </row>
    <row r="327">
      <c r="A327" s="69" t="n"/>
      <c r="B327" s="72" t="n"/>
      <c r="C327" s="73" t="n"/>
      <c r="D327" s="69" t="n"/>
      <c r="E327" s="69" t="n"/>
      <c r="F327" s="69" t="n"/>
      <c r="G327" s="69" t="n"/>
    </row>
    <row r="328">
      <c r="A328" s="69" t="n"/>
      <c r="B328" s="72" t="n"/>
      <c r="C328" s="73" t="n"/>
      <c r="D328" s="69" t="n"/>
      <c r="E328" s="69" t="n"/>
      <c r="F328" s="69" t="n"/>
      <c r="G328" s="69" t="n"/>
    </row>
    <row r="329">
      <c r="A329" s="69" t="n"/>
      <c r="B329" s="72" t="n"/>
      <c r="C329" s="73" t="n"/>
      <c r="D329" s="69" t="n"/>
      <c r="E329" s="69" t="n"/>
      <c r="F329" s="69" t="n"/>
      <c r="G329" s="69" t="n"/>
    </row>
    <row r="330">
      <c r="A330" s="69" t="n"/>
      <c r="B330" s="72" t="n"/>
      <c r="C330" s="73" t="n"/>
      <c r="D330" s="69" t="n"/>
      <c r="E330" s="69" t="n"/>
      <c r="F330" s="69" t="n"/>
      <c r="G330" s="69" t="n"/>
    </row>
    <row r="331">
      <c r="A331" s="69" t="n"/>
      <c r="B331" s="72" t="n"/>
      <c r="C331" s="73" t="n"/>
      <c r="D331" s="69" t="n"/>
      <c r="E331" s="69" t="n"/>
      <c r="F331" s="69" t="n"/>
      <c r="G331" s="69" t="n"/>
    </row>
    <row r="332">
      <c r="A332" s="69" t="n"/>
      <c r="B332" s="72" t="n"/>
      <c r="C332" s="73" t="n"/>
      <c r="D332" s="69" t="n"/>
      <c r="E332" s="69" t="n"/>
      <c r="F332" s="69" t="n"/>
      <c r="G332" s="69" t="n"/>
    </row>
    <row r="333">
      <c r="A333" s="69" t="n"/>
      <c r="B333" s="72" t="n"/>
      <c r="C333" s="73" t="n"/>
      <c r="D333" s="69" t="n"/>
      <c r="E333" s="69" t="n"/>
      <c r="F333" s="69" t="n"/>
      <c r="G333" s="69" t="n"/>
    </row>
    <row r="334">
      <c r="A334" s="69" t="n"/>
      <c r="B334" s="72" t="n"/>
      <c r="C334" s="73" t="n"/>
      <c r="D334" s="69" t="n"/>
      <c r="E334" s="69" t="n"/>
      <c r="F334" s="69" t="n"/>
      <c r="G334" s="69" t="n"/>
    </row>
    <row r="335">
      <c r="A335" s="69" t="n"/>
      <c r="B335" s="72" t="n"/>
      <c r="C335" s="73" t="n"/>
      <c r="D335" s="69" t="n"/>
      <c r="E335" s="69" t="n"/>
      <c r="F335" s="69" t="n"/>
      <c r="G335" s="69" t="n"/>
    </row>
    <row r="336">
      <c r="A336" s="69" t="n"/>
      <c r="B336" s="72" t="n"/>
      <c r="C336" s="73" t="n"/>
      <c r="D336" s="69" t="n"/>
      <c r="E336" s="69" t="n"/>
      <c r="F336" s="69" t="n"/>
      <c r="G336" s="69" t="n"/>
    </row>
    <row r="337">
      <c r="A337" s="69" t="n"/>
      <c r="B337" s="72" t="n"/>
      <c r="C337" s="73" t="n"/>
      <c r="D337" s="69" t="n"/>
      <c r="E337" s="69" t="n"/>
      <c r="F337" s="69" t="n"/>
      <c r="G337" s="69" t="n"/>
    </row>
    <row r="338">
      <c r="A338" s="69" t="n"/>
      <c r="B338" s="72" t="n"/>
      <c r="C338" s="73" t="n"/>
      <c r="D338" s="69" t="n"/>
      <c r="E338" s="69" t="n"/>
      <c r="F338" s="69" t="n"/>
      <c r="G338" s="69" t="n"/>
    </row>
    <row r="339">
      <c r="A339" s="69" t="n"/>
      <c r="B339" s="72" t="n"/>
      <c r="C339" s="73" t="n"/>
      <c r="D339" s="69" t="n"/>
      <c r="E339" s="69" t="n"/>
      <c r="F339" s="69" t="n"/>
      <c r="G339" s="69" t="n"/>
    </row>
    <row r="340">
      <c r="A340" s="69" t="n"/>
      <c r="B340" s="72" t="n"/>
      <c r="C340" s="73" t="n"/>
      <c r="D340" s="69" t="n"/>
      <c r="E340" s="69" t="n"/>
      <c r="F340" s="69" t="n"/>
      <c r="G340" s="69" t="n"/>
    </row>
    <row r="341">
      <c r="A341" s="69" t="n"/>
      <c r="B341" s="72" t="n"/>
      <c r="C341" s="73" t="n"/>
      <c r="D341" s="69" t="n"/>
      <c r="E341" s="69" t="n"/>
      <c r="F341" s="69" t="n"/>
      <c r="G341" s="69" t="n"/>
    </row>
    <row r="342">
      <c r="A342" s="69" t="n"/>
      <c r="B342" s="72" t="n"/>
      <c r="C342" s="73" t="n"/>
      <c r="D342" s="69" t="n"/>
      <c r="E342" s="69" t="n"/>
      <c r="F342" s="69" t="n"/>
      <c r="G342" s="69" t="n"/>
    </row>
    <row r="343">
      <c r="A343" s="69" t="n"/>
      <c r="B343" s="72" t="n"/>
      <c r="C343" s="73" t="n"/>
      <c r="D343" s="69" t="n"/>
      <c r="E343" s="69" t="n"/>
      <c r="F343" s="69" t="n"/>
      <c r="G343" s="69" t="n"/>
    </row>
    <row r="344">
      <c r="A344" s="69" t="n"/>
      <c r="B344" s="72" t="n"/>
      <c r="C344" s="73" t="n"/>
      <c r="D344" s="69" t="n"/>
      <c r="E344" s="69" t="n"/>
      <c r="F344" s="69" t="n"/>
      <c r="G344" s="69" t="n"/>
    </row>
    <row r="345">
      <c r="A345" s="69" t="n"/>
      <c r="B345" s="72" t="n"/>
      <c r="C345" s="73" t="n"/>
      <c r="D345" s="69" t="n"/>
      <c r="E345" s="69" t="n"/>
      <c r="F345" s="69" t="n"/>
      <c r="G345" s="69" t="n"/>
    </row>
    <row r="346">
      <c r="A346" s="69" t="n"/>
      <c r="B346" s="72" t="n"/>
      <c r="C346" s="73" t="n"/>
      <c r="D346" s="69" t="n"/>
      <c r="E346" s="69" t="n"/>
      <c r="F346" s="69" t="n"/>
      <c r="G346" s="69" t="n"/>
    </row>
    <row r="347">
      <c r="A347" s="69" t="n"/>
      <c r="B347" s="72" t="n"/>
      <c r="C347" s="73" t="n"/>
      <c r="D347" s="69" t="n"/>
      <c r="E347" s="69" t="n"/>
      <c r="F347" s="69" t="n"/>
      <c r="G347" s="69" t="n"/>
    </row>
    <row r="348">
      <c r="A348" s="69" t="n"/>
      <c r="B348" s="72" t="n"/>
      <c r="C348" s="73" t="n"/>
      <c r="D348" s="69" t="n"/>
      <c r="E348" s="69" t="n"/>
      <c r="F348" s="69" t="n"/>
      <c r="G348" s="69" t="n"/>
    </row>
    <row r="349">
      <c r="A349" s="69" t="n"/>
      <c r="B349" s="72" t="n"/>
      <c r="C349" s="73" t="n"/>
      <c r="D349" s="69" t="n"/>
      <c r="E349" s="69" t="n"/>
      <c r="F349" s="69" t="n"/>
      <c r="G349" s="69" t="n"/>
    </row>
    <row r="350">
      <c r="A350" s="69" t="n"/>
      <c r="B350" s="72" t="n"/>
      <c r="C350" s="73" t="n"/>
      <c r="D350" s="69" t="n"/>
      <c r="E350" s="69" t="n"/>
      <c r="F350" s="69" t="n"/>
      <c r="G350" s="69" t="n"/>
    </row>
    <row r="351">
      <c r="A351" s="69" t="n"/>
      <c r="B351" s="72" t="n"/>
      <c r="C351" s="73" t="n"/>
      <c r="D351" s="69" t="n"/>
      <c r="E351" s="69" t="n"/>
      <c r="F351" s="69" t="n"/>
      <c r="G351" s="69" t="n"/>
    </row>
    <row r="352">
      <c r="A352" s="69" t="n"/>
      <c r="B352" s="72" t="n"/>
      <c r="C352" s="73" t="n"/>
      <c r="D352" s="69" t="n"/>
      <c r="E352" s="69" t="n"/>
      <c r="F352" s="69" t="n"/>
      <c r="G352" s="69" t="n"/>
    </row>
    <row r="353">
      <c r="A353" s="69" t="n"/>
      <c r="B353" s="72" t="n"/>
      <c r="C353" s="73" t="n"/>
      <c r="D353" s="69" t="n"/>
      <c r="E353" s="69" t="n"/>
      <c r="F353" s="69" t="n"/>
      <c r="G353" s="69" t="n"/>
    </row>
    <row r="354">
      <c r="A354" s="69" t="n"/>
      <c r="B354" s="72" t="n"/>
      <c r="C354" s="73" t="n"/>
      <c r="D354" s="69" t="n"/>
      <c r="E354" s="69" t="n"/>
      <c r="F354" s="69" t="n"/>
      <c r="G354" s="69" t="n"/>
    </row>
    <row r="355">
      <c r="A355" s="69" t="n"/>
      <c r="B355" s="72" t="n"/>
      <c r="C355" s="73" t="n"/>
      <c r="D355" s="69" t="n"/>
      <c r="E355" s="69" t="n"/>
      <c r="F355" s="69" t="n"/>
      <c r="G355" s="69" t="n"/>
    </row>
    <row r="356">
      <c r="A356" s="69" t="n"/>
      <c r="B356" s="72" t="n"/>
      <c r="C356" s="73" t="n"/>
      <c r="D356" s="69" t="n"/>
      <c r="E356" s="69" t="n"/>
      <c r="F356" s="69" t="n"/>
      <c r="G356" s="69" t="n"/>
    </row>
    <row r="357">
      <c r="A357" s="69" t="n"/>
      <c r="B357" s="72" t="n"/>
      <c r="C357" s="73" t="n"/>
      <c r="D357" s="69" t="n"/>
      <c r="E357" s="69" t="n"/>
      <c r="F357" s="69" t="n"/>
      <c r="G357" s="69" t="n"/>
    </row>
    <row r="358">
      <c r="A358" s="69" t="n"/>
      <c r="B358" s="72" t="n"/>
      <c r="C358" s="73" t="n"/>
      <c r="D358" s="69" t="n"/>
      <c r="E358" s="69" t="n"/>
      <c r="F358" s="69" t="n"/>
      <c r="G358" s="69" t="n"/>
    </row>
    <row r="359">
      <c r="A359" s="69" t="n"/>
      <c r="B359" s="72" t="n"/>
      <c r="C359" s="73" t="n"/>
      <c r="D359" s="69" t="n"/>
      <c r="E359" s="69" t="n"/>
      <c r="F359" s="69" t="n"/>
      <c r="G359" s="69" t="n"/>
    </row>
    <row r="360">
      <c r="A360" s="69" t="n"/>
      <c r="B360" s="72" t="n"/>
      <c r="C360" s="73" t="n"/>
      <c r="D360" s="69" t="n"/>
      <c r="E360" s="69" t="n"/>
      <c r="F360" s="69" t="n"/>
      <c r="G360" s="69" t="n"/>
    </row>
    <row r="361">
      <c r="A361" s="69" t="n"/>
      <c r="B361" s="72" t="n"/>
      <c r="C361" s="73" t="n"/>
      <c r="D361" s="69" t="n"/>
      <c r="E361" s="69" t="n"/>
      <c r="F361" s="69" t="n"/>
      <c r="G361" s="69" t="n"/>
    </row>
    <row r="362">
      <c r="A362" s="69" t="n"/>
      <c r="B362" s="72" t="n"/>
      <c r="C362" s="73" t="n"/>
      <c r="D362" s="69" t="n"/>
      <c r="E362" s="69" t="n"/>
      <c r="F362" s="69" t="n"/>
      <c r="G362" s="69" t="n"/>
    </row>
    <row r="363">
      <c r="A363" s="69" t="n"/>
      <c r="B363" s="72" t="n"/>
      <c r="C363" s="73" t="n"/>
      <c r="D363" s="69" t="n"/>
      <c r="E363" s="69" t="n"/>
      <c r="F363" s="69" t="n"/>
      <c r="G363" s="69" t="n"/>
    </row>
    <row r="364">
      <c r="A364" s="69" t="n"/>
      <c r="B364" s="72" t="n"/>
      <c r="C364" s="73" t="n"/>
      <c r="D364" s="69" t="n"/>
      <c r="E364" s="69" t="n"/>
      <c r="F364" s="69" t="n"/>
      <c r="G364" s="69" t="n"/>
    </row>
    <row r="365">
      <c r="A365" s="69" t="n"/>
      <c r="B365" s="72" t="n"/>
      <c r="C365" s="73" t="n"/>
      <c r="D365" s="69" t="n"/>
      <c r="E365" s="69" t="n"/>
      <c r="F365" s="69" t="n"/>
      <c r="G365" s="69" t="n"/>
    </row>
    <row r="366">
      <c r="A366" s="69" t="n"/>
      <c r="B366" s="72" t="n"/>
      <c r="C366" s="73" t="n"/>
      <c r="D366" s="69" t="n"/>
      <c r="E366" s="69" t="n"/>
      <c r="F366" s="69" t="n"/>
      <c r="G366" s="69" t="n"/>
    </row>
    <row r="367">
      <c r="A367" s="69" t="n"/>
      <c r="B367" s="72" t="n"/>
      <c r="C367" s="73" t="n"/>
      <c r="D367" s="69" t="n"/>
      <c r="E367" s="69" t="n"/>
      <c r="F367" s="69" t="n"/>
      <c r="G367" s="69" t="n"/>
    </row>
    <row r="368">
      <c r="A368" s="69" t="n"/>
      <c r="B368" s="72" t="n"/>
      <c r="C368" s="73" t="n"/>
      <c r="D368" s="69" t="n"/>
      <c r="E368" s="69" t="n"/>
      <c r="F368" s="69" t="n"/>
      <c r="G368" s="69" t="n"/>
    </row>
    <row r="369">
      <c r="A369" s="69" t="n"/>
      <c r="B369" s="72" t="n"/>
      <c r="C369" s="73" t="n"/>
      <c r="D369" s="69" t="n"/>
      <c r="E369" s="69" t="n"/>
      <c r="F369" s="69" t="n"/>
      <c r="G369" s="69" t="n"/>
    </row>
    <row r="370">
      <c r="A370" s="69" t="n"/>
      <c r="B370" s="72" t="n"/>
      <c r="C370" s="73" t="n"/>
      <c r="D370" s="69" t="n"/>
      <c r="E370" s="69" t="n"/>
      <c r="F370" s="69" t="n"/>
      <c r="G370" s="69" t="n"/>
    </row>
    <row r="371">
      <c r="A371" s="69" t="n"/>
      <c r="B371" s="72" t="n"/>
      <c r="C371" s="73" t="n"/>
      <c r="D371" s="69" t="n"/>
      <c r="E371" s="69" t="n"/>
      <c r="F371" s="69" t="n"/>
      <c r="G371" s="69" t="n"/>
    </row>
    <row r="372">
      <c r="A372" s="69" t="n"/>
      <c r="B372" s="72" t="n"/>
      <c r="C372" s="73" t="n"/>
      <c r="D372" s="69" t="n"/>
      <c r="E372" s="69" t="n"/>
      <c r="F372" s="69" t="n"/>
      <c r="G372" s="69" t="n"/>
    </row>
    <row r="373">
      <c r="A373" s="69" t="n"/>
      <c r="B373" s="72" t="n"/>
      <c r="C373" s="73" t="n"/>
      <c r="D373" s="69" t="n"/>
      <c r="E373" s="69" t="n"/>
      <c r="F373" s="69" t="n"/>
      <c r="G373" s="69" t="n"/>
    </row>
    <row r="374">
      <c r="A374" s="69" t="n"/>
      <c r="B374" s="72" t="n"/>
      <c r="C374" s="73" t="n"/>
      <c r="D374" s="69" t="n"/>
      <c r="E374" s="69" t="n"/>
      <c r="F374" s="69" t="n"/>
      <c r="G374" s="69" t="n"/>
    </row>
    <row r="375">
      <c r="A375" s="69" t="n"/>
      <c r="B375" s="72" t="n"/>
      <c r="C375" s="73" t="n"/>
      <c r="D375" s="69" t="n"/>
      <c r="E375" s="69" t="n"/>
      <c r="F375" s="69" t="n"/>
      <c r="G375" s="69" t="n"/>
    </row>
    <row r="376">
      <c r="A376" s="69" t="n"/>
      <c r="B376" s="72" t="n"/>
      <c r="C376" s="73" t="n"/>
      <c r="D376" s="69" t="n"/>
      <c r="E376" s="69" t="n"/>
      <c r="F376" s="69" t="n"/>
      <c r="G376" s="69" t="n"/>
    </row>
    <row r="377">
      <c r="A377" s="69" t="n"/>
      <c r="B377" s="72" t="n"/>
      <c r="C377" s="73" t="n"/>
      <c r="D377" s="69" t="n"/>
      <c r="E377" s="69" t="n"/>
      <c r="F377" s="69" t="n"/>
      <c r="G377" s="69" t="n"/>
    </row>
    <row r="378">
      <c r="A378" s="69" t="n"/>
      <c r="B378" s="72" t="n"/>
      <c r="C378" s="73" t="n"/>
      <c r="D378" s="69" t="n"/>
      <c r="E378" s="69" t="n"/>
      <c r="F378" s="69" t="n"/>
      <c r="G378" s="69" t="n"/>
    </row>
    <row r="379">
      <c r="A379" s="69" t="n"/>
      <c r="B379" s="72" t="n"/>
      <c r="C379" s="73" t="n"/>
      <c r="D379" s="69" t="n"/>
      <c r="E379" s="69" t="n"/>
      <c r="F379" s="69" t="n"/>
      <c r="G379" s="69" t="n"/>
    </row>
    <row r="380">
      <c r="A380" s="69" t="n"/>
      <c r="B380" s="72" t="n"/>
      <c r="C380" s="73" t="n"/>
      <c r="D380" s="69" t="n"/>
      <c r="E380" s="69" t="n"/>
      <c r="F380" s="69" t="n"/>
      <c r="G380" s="69" t="n"/>
    </row>
    <row r="381">
      <c r="A381" s="69" t="n"/>
      <c r="B381" s="72" t="n"/>
      <c r="C381" s="73" t="n"/>
      <c r="D381" s="69" t="n"/>
      <c r="E381" s="69" t="n"/>
      <c r="F381" s="69" t="n"/>
      <c r="G381" s="69" t="n"/>
    </row>
    <row r="382">
      <c r="A382" s="69" t="n"/>
      <c r="B382" s="72" t="n"/>
      <c r="C382" s="73" t="n"/>
      <c r="D382" s="69" t="n"/>
      <c r="E382" s="69" t="n"/>
      <c r="F382" s="69" t="n"/>
      <c r="G382" s="69" t="n"/>
    </row>
    <row r="383">
      <c r="A383" s="69" t="n"/>
      <c r="B383" s="72" t="n"/>
      <c r="C383" s="73" t="n"/>
      <c r="D383" s="69" t="n"/>
      <c r="E383" s="69" t="n"/>
      <c r="F383" s="69" t="n"/>
      <c r="G383" s="69" t="n"/>
    </row>
    <row r="384">
      <c r="A384" s="69" t="n"/>
      <c r="B384" s="72" t="n"/>
      <c r="C384" s="73" t="n"/>
      <c r="D384" s="69" t="n"/>
      <c r="E384" s="69" t="n"/>
      <c r="F384" s="69" t="n"/>
      <c r="G384" s="69" t="n"/>
    </row>
    <row r="385">
      <c r="A385" s="69" t="n"/>
      <c r="B385" s="72" t="n"/>
      <c r="C385" s="73" t="n"/>
      <c r="D385" s="69" t="n"/>
      <c r="E385" s="69" t="n"/>
      <c r="F385" s="69" t="n"/>
      <c r="G385" s="69" t="n"/>
    </row>
    <row r="386">
      <c r="A386" s="69" t="n"/>
      <c r="B386" s="72" t="n"/>
      <c r="C386" s="73" t="n"/>
      <c r="D386" s="69" t="n"/>
      <c r="E386" s="69" t="n"/>
      <c r="F386" s="69" t="n"/>
      <c r="G386" s="69" t="n"/>
    </row>
    <row r="387">
      <c r="A387" s="69" t="n"/>
      <c r="B387" s="72" t="n"/>
      <c r="C387" s="73" t="n"/>
      <c r="D387" s="69" t="n"/>
      <c r="E387" s="69" t="n"/>
      <c r="F387" s="69" t="n"/>
      <c r="G387" s="69" t="n"/>
    </row>
    <row r="388">
      <c r="A388" s="69" t="n"/>
      <c r="B388" s="72" t="n"/>
      <c r="C388" s="73" t="n"/>
      <c r="D388" s="69" t="n"/>
      <c r="E388" s="69" t="n"/>
      <c r="F388" s="69" t="n"/>
      <c r="G388" s="69" t="n"/>
    </row>
    <row r="389">
      <c r="A389" s="69" t="n"/>
      <c r="B389" s="72" t="n"/>
      <c r="C389" s="73" t="n"/>
      <c r="D389" s="69" t="n"/>
      <c r="E389" s="69" t="n"/>
      <c r="F389" s="69" t="n"/>
      <c r="G389" s="69" t="n"/>
    </row>
    <row r="390">
      <c r="A390" s="69" t="n"/>
      <c r="B390" s="72" t="n"/>
      <c r="C390" s="73" t="n"/>
      <c r="D390" s="69" t="n"/>
      <c r="E390" s="69" t="n"/>
      <c r="F390" s="69" t="n"/>
      <c r="G390" s="69" t="n"/>
    </row>
    <row r="391">
      <c r="A391" s="69" t="n"/>
      <c r="B391" s="72" t="n"/>
      <c r="C391" s="73" t="n"/>
      <c r="D391" s="69" t="n"/>
      <c r="E391" s="69" t="n"/>
      <c r="F391" s="69" t="n"/>
      <c r="G391" s="69" t="n"/>
    </row>
    <row r="392">
      <c r="A392" s="69" t="n"/>
      <c r="B392" s="72" t="n"/>
      <c r="C392" s="73" t="n"/>
      <c r="D392" s="69" t="n"/>
      <c r="E392" s="69" t="n"/>
      <c r="F392" s="69" t="n"/>
      <c r="G392" s="69" t="n"/>
    </row>
    <row r="393">
      <c r="A393" s="69" t="n"/>
      <c r="B393" s="72" t="n"/>
      <c r="C393" s="73" t="n"/>
      <c r="D393" s="69" t="n"/>
      <c r="E393" s="69" t="n"/>
      <c r="F393" s="69" t="n"/>
      <c r="G393" s="69" t="n"/>
    </row>
    <row r="394">
      <c r="A394" s="69" t="n"/>
      <c r="B394" s="72" t="n"/>
      <c r="C394" s="73" t="n"/>
      <c r="D394" s="69" t="n"/>
      <c r="E394" s="69" t="n"/>
      <c r="F394" s="69" t="n"/>
      <c r="G394" s="69" t="n"/>
    </row>
    <row r="395">
      <c r="A395" s="69" t="n"/>
      <c r="B395" s="72" t="n"/>
      <c r="C395" s="73" t="n"/>
      <c r="D395" s="69" t="n"/>
      <c r="E395" s="69" t="n"/>
      <c r="F395" s="69" t="n"/>
      <c r="G395" s="69" t="n"/>
    </row>
    <row r="396">
      <c r="A396" s="69" t="n"/>
      <c r="B396" s="72" t="n"/>
      <c r="C396" s="73" t="n"/>
      <c r="D396" s="69" t="n"/>
      <c r="E396" s="69" t="n"/>
      <c r="F396" s="69" t="n"/>
      <c r="G396" s="69" t="n"/>
    </row>
    <row r="397">
      <c r="A397" s="69" t="n"/>
      <c r="B397" s="72" t="n"/>
      <c r="C397" s="73" t="n"/>
      <c r="D397" s="69" t="n"/>
      <c r="E397" s="69" t="n"/>
      <c r="F397" s="69" t="n"/>
      <c r="G397" s="69" t="n"/>
    </row>
    <row r="398">
      <c r="A398" s="69" t="n"/>
      <c r="B398" s="72" t="n"/>
      <c r="C398" s="73" t="n"/>
      <c r="D398" s="69" t="n"/>
      <c r="E398" s="69" t="n"/>
      <c r="F398" s="69" t="n"/>
      <c r="G398" s="69" t="n"/>
    </row>
    <row r="399">
      <c r="A399" s="69" t="n"/>
      <c r="B399" s="72" t="n"/>
      <c r="C399" s="73" t="n"/>
      <c r="D399" s="69" t="n"/>
      <c r="E399" s="69" t="n"/>
      <c r="F399" s="69" t="n"/>
      <c r="G399" s="69" t="n"/>
    </row>
    <row r="400">
      <c r="A400" s="69" t="n"/>
      <c r="B400" s="72" t="n"/>
      <c r="C400" s="73" t="n"/>
      <c r="D400" s="69" t="n"/>
      <c r="E400" s="69" t="n"/>
      <c r="F400" s="69" t="n"/>
      <c r="G400" s="69" t="n"/>
    </row>
    <row r="401">
      <c r="A401" s="69" t="n"/>
      <c r="B401" s="72" t="n"/>
      <c r="C401" s="73" t="n"/>
      <c r="D401" s="69" t="n"/>
      <c r="E401" s="69" t="n"/>
      <c r="F401" s="69" t="n"/>
      <c r="G401" s="69" t="n"/>
    </row>
    <row r="402">
      <c r="A402" s="69" t="n"/>
      <c r="B402" s="72" t="n"/>
      <c r="C402" s="73" t="n"/>
      <c r="D402" s="69" t="n"/>
      <c r="E402" s="69" t="n"/>
      <c r="F402" s="69" t="n"/>
      <c r="G402" s="69" t="n"/>
    </row>
    <row r="403">
      <c r="A403" s="69" t="n"/>
      <c r="B403" s="72" t="n"/>
      <c r="C403" s="73" t="n"/>
      <c r="D403" s="69" t="n"/>
      <c r="E403" s="69" t="n"/>
      <c r="F403" s="69" t="n"/>
      <c r="G403" s="69" t="n"/>
    </row>
    <row r="404">
      <c r="A404" s="69" t="n"/>
      <c r="B404" s="72" t="n"/>
      <c r="C404" s="73" t="n"/>
      <c r="D404" s="69" t="n"/>
      <c r="E404" s="69" t="n"/>
      <c r="F404" s="69" t="n"/>
      <c r="G404" s="69" t="n"/>
    </row>
    <row r="405">
      <c r="A405" s="69" t="n"/>
      <c r="B405" s="72" t="n"/>
      <c r="C405" s="73" t="n"/>
      <c r="D405" s="69" t="n"/>
      <c r="E405" s="69" t="n"/>
      <c r="F405" s="69" t="n"/>
      <c r="G405" s="69" t="n"/>
    </row>
    <row r="406">
      <c r="A406" s="69" t="n"/>
      <c r="B406" s="72" t="n"/>
      <c r="C406" s="73" t="n"/>
      <c r="D406" s="69" t="n"/>
      <c r="E406" s="69" t="n"/>
      <c r="F406" s="69" t="n"/>
      <c r="G406" s="69" t="n"/>
    </row>
    <row r="407">
      <c r="A407" s="69" t="n"/>
      <c r="B407" s="72" t="n"/>
      <c r="C407" s="73" t="n"/>
      <c r="D407" s="69" t="n"/>
      <c r="E407" s="69" t="n"/>
      <c r="F407" s="69" t="n"/>
      <c r="G407" s="69" t="n"/>
    </row>
    <row r="408">
      <c r="A408" s="69" t="n"/>
      <c r="B408" s="72" t="n"/>
      <c r="C408" s="73" t="n"/>
      <c r="D408" s="69" t="n"/>
      <c r="E408" s="69" t="n"/>
      <c r="F408" s="69" t="n"/>
      <c r="G408" s="69" t="n"/>
    </row>
    <row r="409">
      <c r="A409" s="69" t="n"/>
      <c r="B409" s="72" t="n"/>
      <c r="C409" s="73" t="n"/>
      <c r="D409" s="69" t="n"/>
      <c r="E409" s="69" t="n"/>
      <c r="F409" s="69" t="n"/>
      <c r="G409" s="69" t="n"/>
    </row>
    <row r="410">
      <c r="A410" s="69" t="n"/>
      <c r="B410" s="72" t="n"/>
      <c r="C410" s="73" t="n"/>
      <c r="D410" s="69" t="n"/>
      <c r="E410" s="69" t="n"/>
      <c r="F410" s="69" t="n"/>
      <c r="G410" s="69" t="n"/>
    </row>
    <row r="411">
      <c r="A411" s="69" t="n"/>
      <c r="B411" s="72" t="n"/>
      <c r="C411" s="73" t="n"/>
      <c r="D411" s="69" t="n"/>
      <c r="E411" s="69" t="n"/>
      <c r="F411" s="69" t="n"/>
      <c r="G411" s="69" t="n"/>
    </row>
    <row r="412">
      <c r="A412" s="69" t="n"/>
      <c r="B412" s="72" t="n"/>
      <c r="C412" s="73" t="n"/>
      <c r="D412" s="69" t="n"/>
      <c r="E412" s="69" t="n"/>
      <c r="F412" s="69" t="n"/>
      <c r="G412" s="69" t="n"/>
    </row>
    <row r="413">
      <c r="A413" s="69" t="n"/>
      <c r="B413" s="72" t="n"/>
      <c r="C413" s="73" t="n"/>
      <c r="D413" s="69" t="n"/>
      <c r="E413" s="69" t="n"/>
      <c r="F413" s="69" t="n"/>
      <c r="G413" s="69" t="n"/>
    </row>
    <row r="414">
      <c r="A414" s="69" t="n"/>
      <c r="B414" s="72" t="n"/>
      <c r="C414" s="73" t="n"/>
      <c r="D414" s="69" t="n"/>
      <c r="E414" s="69" t="n"/>
      <c r="F414" s="69" t="n"/>
      <c r="G414" s="69" t="n"/>
    </row>
    <row r="415">
      <c r="A415" s="69" t="n"/>
      <c r="B415" s="72" t="n"/>
      <c r="C415" s="73" t="n"/>
      <c r="D415" s="69" t="n"/>
      <c r="E415" s="69" t="n"/>
      <c r="F415" s="69" t="n"/>
      <c r="G415" s="69" t="n"/>
    </row>
    <row r="416">
      <c r="A416" s="69" t="n"/>
      <c r="B416" s="72" t="n"/>
      <c r="C416" s="73" t="n"/>
      <c r="D416" s="69" t="n"/>
      <c r="E416" s="69" t="n"/>
      <c r="F416" s="69" t="n"/>
      <c r="G416" s="69" t="n"/>
    </row>
    <row r="417">
      <c r="A417" s="69" t="n"/>
      <c r="B417" s="72" t="n"/>
      <c r="C417" s="73" t="n"/>
      <c r="D417" s="69" t="n"/>
      <c r="E417" s="69" t="n"/>
      <c r="F417" s="69" t="n"/>
      <c r="G417" s="69" t="n"/>
    </row>
    <row r="418">
      <c r="A418" s="69" t="n"/>
      <c r="B418" s="72" t="n"/>
      <c r="C418" s="73" t="n"/>
      <c r="D418" s="69" t="n"/>
      <c r="E418" s="69" t="n"/>
      <c r="F418" s="69" t="n"/>
      <c r="G418" s="69" t="n"/>
    </row>
    <row r="419">
      <c r="A419" s="69" t="n"/>
      <c r="B419" s="72" t="n"/>
      <c r="C419" s="73" t="n"/>
      <c r="D419" s="69" t="n"/>
      <c r="E419" s="69" t="n"/>
      <c r="F419" s="69" t="n"/>
      <c r="G419" s="69" t="n"/>
    </row>
    <row r="420">
      <c r="A420" s="69" t="n"/>
      <c r="B420" s="72" t="n"/>
      <c r="C420" s="73" t="n"/>
      <c r="D420" s="69" t="n"/>
      <c r="E420" s="69" t="n"/>
      <c r="F420" s="69" t="n"/>
      <c r="G420" s="69" t="n"/>
    </row>
    <row r="421">
      <c r="A421" s="69" t="n"/>
      <c r="B421" s="72" t="n"/>
      <c r="C421" s="73" t="n"/>
      <c r="D421" s="69" t="n"/>
      <c r="E421" s="69" t="n"/>
      <c r="F421" s="69" t="n"/>
      <c r="G421" s="69" t="n"/>
    </row>
    <row r="422">
      <c r="A422" s="69" t="n"/>
      <c r="B422" s="72" t="n"/>
      <c r="C422" s="73" t="n"/>
      <c r="D422" s="69" t="n"/>
      <c r="E422" s="69" t="n"/>
      <c r="F422" s="69" t="n"/>
      <c r="G422" s="69" t="n"/>
    </row>
    <row r="423">
      <c r="A423" s="69" t="n"/>
      <c r="B423" s="72" t="n"/>
      <c r="C423" s="73" t="n"/>
      <c r="D423" s="69" t="n"/>
      <c r="E423" s="69" t="n"/>
      <c r="F423" s="69" t="n"/>
      <c r="G423" s="69" t="n"/>
    </row>
    <row r="424">
      <c r="A424" s="69" t="n"/>
      <c r="B424" s="72" t="n"/>
      <c r="C424" s="73" t="n"/>
      <c r="D424" s="69" t="n"/>
      <c r="E424" s="69" t="n"/>
      <c r="F424" s="69" t="n"/>
      <c r="G424" s="69" t="n"/>
    </row>
    <row r="425">
      <c r="A425" s="69" t="n"/>
      <c r="B425" s="72" t="n"/>
      <c r="C425" s="73" t="n"/>
      <c r="D425" s="69" t="n"/>
      <c r="E425" s="69" t="n"/>
      <c r="F425" s="69" t="n"/>
      <c r="G425" s="69" t="n"/>
    </row>
    <row r="426">
      <c r="A426" s="69" t="n"/>
      <c r="B426" s="72" t="n"/>
      <c r="C426" s="73" t="n"/>
      <c r="D426" s="69" t="n"/>
      <c r="E426" s="69" t="n"/>
      <c r="F426" s="69" t="n"/>
      <c r="G426" s="69" t="n"/>
    </row>
    <row r="427">
      <c r="A427" s="69" t="n"/>
      <c r="B427" s="72" t="n"/>
      <c r="C427" s="73" t="n"/>
      <c r="D427" s="69" t="n"/>
      <c r="E427" s="69" t="n"/>
      <c r="F427" s="69" t="n"/>
      <c r="G427" s="69" t="n"/>
    </row>
    <row r="428">
      <c r="A428" s="69" t="n"/>
      <c r="B428" s="72" t="n"/>
      <c r="C428" s="73" t="n"/>
      <c r="D428" s="69" t="n"/>
      <c r="E428" s="69" t="n"/>
      <c r="F428" s="69" t="n"/>
      <c r="G428" s="69" t="n"/>
    </row>
    <row r="429">
      <c r="A429" s="69" t="n"/>
      <c r="B429" s="72" t="n"/>
      <c r="C429" s="73" t="n"/>
      <c r="D429" s="69" t="n"/>
      <c r="E429" s="69" t="n"/>
      <c r="F429" s="69" t="n"/>
      <c r="G429" s="69" t="n"/>
    </row>
    <row r="430">
      <c r="A430" s="69" t="n"/>
      <c r="B430" s="72" t="n"/>
      <c r="C430" s="73" t="n"/>
      <c r="D430" s="69" t="n"/>
      <c r="E430" s="69" t="n"/>
      <c r="F430" s="69" t="n"/>
      <c r="G430" s="69" t="n"/>
    </row>
    <row r="431">
      <c r="A431" s="69" t="n"/>
      <c r="B431" s="72" t="n"/>
      <c r="C431" s="73" t="n"/>
      <c r="D431" s="69" t="n"/>
      <c r="E431" s="69" t="n"/>
      <c r="F431" s="69" t="n"/>
      <c r="G431" s="69" t="n"/>
    </row>
    <row r="432">
      <c r="A432" s="69" t="n"/>
      <c r="B432" s="72" t="n"/>
      <c r="C432" s="73" t="n"/>
      <c r="D432" s="69" t="n"/>
      <c r="E432" s="69" t="n"/>
      <c r="F432" s="69" t="n"/>
      <c r="G432" s="69" t="n"/>
    </row>
    <row r="433">
      <c r="A433" s="69" t="n"/>
      <c r="B433" s="72" t="n"/>
      <c r="C433" s="73" t="n"/>
      <c r="D433" s="69" t="n"/>
      <c r="E433" s="69" t="n"/>
      <c r="F433" s="69" t="n"/>
      <c r="G433" s="69" t="n"/>
    </row>
    <row r="434">
      <c r="A434" s="69" t="n"/>
      <c r="B434" s="72" t="n"/>
      <c r="C434" s="73" t="n"/>
      <c r="D434" s="69" t="n"/>
      <c r="E434" s="69" t="n"/>
      <c r="F434" s="69" t="n"/>
      <c r="G434" s="69" t="n"/>
    </row>
    <row r="435">
      <c r="A435" s="69" t="n"/>
      <c r="B435" s="72" t="n"/>
      <c r="C435" s="73" t="n"/>
      <c r="D435" s="69" t="n"/>
      <c r="E435" s="69" t="n"/>
      <c r="F435" s="69" t="n"/>
      <c r="G435" s="69" t="n"/>
    </row>
    <row r="436">
      <c r="A436" s="69" t="n"/>
      <c r="B436" s="72" t="n"/>
      <c r="C436" s="73" t="n"/>
      <c r="D436" s="69" t="n"/>
      <c r="E436" s="69" t="n"/>
      <c r="F436" s="69" t="n"/>
      <c r="G436" s="69" t="n"/>
    </row>
    <row r="437">
      <c r="A437" s="69" t="n"/>
      <c r="B437" s="72" t="n"/>
      <c r="C437" s="73" t="n"/>
      <c r="D437" s="69" t="n"/>
      <c r="E437" s="69" t="n"/>
      <c r="F437" s="69" t="n"/>
      <c r="G437" s="69" t="n"/>
    </row>
    <row r="438">
      <c r="A438" s="69" t="n"/>
      <c r="B438" s="72" t="n"/>
      <c r="C438" s="73" t="n"/>
      <c r="D438" s="69" t="n"/>
      <c r="E438" s="69" t="n"/>
      <c r="F438" s="69" t="n"/>
      <c r="G438" s="69" t="n"/>
    </row>
    <row r="439">
      <c r="A439" s="69" t="n"/>
      <c r="B439" s="72" t="n"/>
      <c r="C439" s="73" t="n"/>
      <c r="D439" s="69" t="n"/>
      <c r="E439" s="69" t="n"/>
      <c r="F439" s="69" t="n"/>
      <c r="G439" s="69" t="n"/>
    </row>
    <row r="440">
      <c r="A440" s="69" t="n"/>
      <c r="B440" s="72" t="n"/>
      <c r="C440" s="73" t="n"/>
      <c r="D440" s="69" t="n"/>
      <c r="E440" s="69" t="n"/>
      <c r="F440" s="69" t="n"/>
      <c r="G440" s="69" t="n"/>
    </row>
    <row r="441">
      <c r="A441" s="69" t="n"/>
      <c r="B441" s="72" t="n"/>
      <c r="C441" s="73" t="n"/>
      <c r="D441" s="69" t="n"/>
      <c r="E441" s="69" t="n"/>
      <c r="F441" s="69" t="n"/>
      <c r="G441" s="69" t="n"/>
    </row>
    <row r="442">
      <c r="A442" s="69" t="n"/>
      <c r="B442" s="72" t="n"/>
      <c r="C442" s="73" t="n"/>
      <c r="D442" s="69" t="n"/>
      <c r="E442" s="69" t="n"/>
      <c r="F442" s="69" t="n"/>
      <c r="G442" s="69" t="n"/>
    </row>
    <row r="443">
      <c r="A443" s="69" t="n"/>
      <c r="B443" s="72" t="n"/>
      <c r="C443" s="73" t="n"/>
      <c r="D443" s="69" t="n"/>
      <c r="E443" s="69" t="n"/>
      <c r="F443" s="69" t="n"/>
      <c r="G443" s="69" t="n"/>
    </row>
    <row r="444">
      <c r="A444" s="69" t="n"/>
      <c r="B444" s="72" t="n"/>
      <c r="C444" s="73" t="n"/>
      <c r="D444" s="69" t="n"/>
      <c r="E444" s="69" t="n"/>
      <c r="F444" s="69" t="n"/>
      <c r="G444" s="69" t="n"/>
    </row>
    <row r="445">
      <c r="A445" s="69" t="n"/>
      <c r="B445" s="72" t="n"/>
      <c r="C445" s="73" t="n"/>
      <c r="D445" s="69" t="n"/>
      <c r="E445" s="69" t="n"/>
      <c r="F445" s="69" t="n"/>
      <c r="G445" s="69" t="n"/>
    </row>
    <row r="446">
      <c r="A446" s="69" t="n"/>
      <c r="B446" s="72" t="n"/>
      <c r="C446" s="73" t="n"/>
      <c r="D446" s="69" t="n"/>
      <c r="E446" s="69" t="n"/>
      <c r="F446" s="69" t="n"/>
      <c r="G446" s="69" t="n"/>
    </row>
    <row r="447">
      <c r="A447" s="69" t="n"/>
      <c r="B447" s="72" t="n"/>
      <c r="C447" s="73" t="n"/>
      <c r="D447" s="69" t="n"/>
      <c r="E447" s="69" t="n"/>
      <c r="F447" s="69" t="n"/>
      <c r="G447" s="69" t="n"/>
    </row>
    <row r="448">
      <c r="A448" s="69" t="n"/>
      <c r="B448" s="72" t="n"/>
      <c r="C448" s="73" t="n"/>
      <c r="D448" s="69" t="n"/>
      <c r="E448" s="69" t="n"/>
      <c r="F448" s="69" t="n"/>
      <c r="G448" s="69" t="n"/>
    </row>
    <row r="449">
      <c r="A449" s="69" t="n"/>
      <c r="B449" s="72" t="n"/>
      <c r="C449" s="73" t="n"/>
      <c r="D449" s="69" t="n"/>
      <c r="E449" s="69" t="n"/>
      <c r="F449" s="69" t="n"/>
      <c r="G449" s="69" t="n"/>
    </row>
    <row r="450">
      <c r="A450" s="69" t="n"/>
      <c r="B450" s="72" t="n"/>
      <c r="C450" s="73" t="n"/>
      <c r="D450" s="69" t="n"/>
      <c r="E450" s="69" t="n"/>
      <c r="F450" s="69" t="n"/>
      <c r="G450" s="69" t="n"/>
    </row>
    <row r="451">
      <c r="A451" s="69" t="n"/>
      <c r="B451" s="72" t="n"/>
      <c r="C451" s="73" t="n"/>
      <c r="D451" s="69" t="n"/>
      <c r="E451" s="69" t="n"/>
      <c r="F451" s="69" t="n"/>
      <c r="G451" s="69" t="n"/>
    </row>
    <row r="452">
      <c r="A452" s="69" t="n"/>
      <c r="B452" s="72" t="n"/>
      <c r="C452" s="73" t="n"/>
      <c r="D452" s="69" t="n"/>
      <c r="E452" s="69" t="n"/>
      <c r="F452" s="69" t="n"/>
      <c r="G452" s="69" t="n"/>
    </row>
    <row r="453">
      <c r="A453" s="69" t="n"/>
      <c r="B453" s="72" t="n"/>
      <c r="C453" s="73" t="n"/>
      <c r="D453" s="69" t="n"/>
      <c r="E453" s="69" t="n"/>
      <c r="F453" s="69" t="n"/>
      <c r="G453" s="69" t="n"/>
    </row>
    <row r="454">
      <c r="A454" s="69" t="n"/>
      <c r="B454" s="72" t="n"/>
      <c r="C454" s="73" t="n"/>
      <c r="D454" s="69" t="n"/>
      <c r="E454" s="69" t="n"/>
      <c r="F454" s="69" t="n"/>
      <c r="G454" s="69" t="n"/>
    </row>
    <row r="455">
      <c r="A455" s="69" t="n"/>
      <c r="B455" s="72" t="n"/>
      <c r="C455" s="73" t="n"/>
      <c r="D455" s="69" t="n"/>
      <c r="E455" s="69" t="n"/>
      <c r="F455" s="69" t="n"/>
      <c r="G455" s="69" t="n"/>
    </row>
    <row r="456">
      <c r="A456" s="69" t="n"/>
      <c r="B456" s="72" t="n"/>
      <c r="C456" s="73" t="n"/>
      <c r="D456" s="69" t="n"/>
      <c r="E456" s="69" t="n"/>
      <c r="F456" s="69" t="n"/>
      <c r="G456" s="69" t="n"/>
    </row>
    <row r="457">
      <c r="A457" s="69" t="n"/>
      <c r="B457" s="72" t="n"/>
      <c r="C457" s="73" t="n"/>
      <c r="D457" s="69" t="n"/>
      <c r="E457" s="69" t="n"/>
      <c r="F457" s="69" t="n"/>
      <c r="G457" s="69" t="n"/>
    </row>
    <row r="458">
      <c r="A458" s="69" t="n"/>
      <c r="B458" s="72" t="n"/>
      <c r="C458" s="73" t="n"/>
      <c r="D458" s="69" t="n"/>
      <c r="E458" s="69" t="n"/>
      <c r="F458" s="69" t="n"/>
      <c r="G458" s="69" t="n"/>
    </row>
    <row r="459">
      <c r="A459" s="69" t="n"/>
      <c r="B459" s="72" t="n"/>
      <c r="C459" s="73" t="n"/>
      <c r="D459" s="69" t="n"/>
      <c r="E459" s="69" t="n"/>
      <c r="F459" s="69" t="n"/>
      <c r="G459" s="69" t="n"/>
    </row>
    <row r="460">
      <c r="A460" s="69" t="n"/>
      <c r="B460" s="72" t="n"/>
      <c r="C460" s="73" t="n"/>
      <c r="D460" s="69" t="n"/>
      <c r="E460" s="69" t="n"/>
      <c r="F460" s="69" t="n"/>
      <c r="G460" s="69" t="n"/>
    </row>
    <row r="461">
      <c r="A461" s="69" t="n"/>
      <c r="B461" s="72" t="n"/>
      <c r="C461" s="73" t="n"/>
      <c r="D461" s="69" t="n"/>
      <c r="E461" s="69" t="n"/>
      <c r="F461" s="69" t="n"/>
      <c r="G461" s="69" t="n"/>
    </row>
    <row r="462">
      <c r="A462" s="69" t="n"/>
      <c r="B462" s="72" t="n"/>
      <c r="C462" s="73" t="n"/>
      <c r="D462" s="69" t="n"/>
      <c r="E462" s="69" t="n"/>
      <c r="F462" s="69" t="n"/>
      <c r="G462" s="69" t="n"/>
    </row>
    <row r="463">
      <c r="A463" s="69" t="n"/>
      <c r="B463" s="72" t="n"/>
      <c r="C463" s="73" t="n"/>
      <c r="D463" s="69" t="n"/>
      <c r="E463" s="69" t="n"/>
      <c r="F463" s="69" t="n"/>
      <c r="G463" s="69" t="n"/>
    </row>
    <row r="464">
      <c r="A464" s="69" t="n"/>
      <c r="B464" s="72" t="n"/>
      <c r="C464" s="73" t="n"/>
      <c r="D464" s="69" t="n"/>
      <c r="E464" s="69" t="n"/>
      <c r="F464" s="69" t="n"/>
      <c r="G464" s="69" t="n"/>
    </row>
    <row r="465">
      <c r="A465" s="69" t="n"/>
      <c r="B465" s="72" t="n"/>
      <c r="C465" s="73" t="n"/>
      <c r="D465" s="69" t="n"/>
      <c r="E465" s="69" t="n"/>
      <c r="F465" s="69" t="n"/>
      <c r="G465" s="69" t="n"/>
    </row>
    <row r="466">
      <c r="A466" s="69" t="n"/>
      <c r="B466" s="72" t="n"/>
      <c r="C466" s="73" t="n"/>
      <c r="D466" s="69" t="n"/>
      <c r="E466" s="69" t="n"/>
      <c r="F466" s="69" t="n"/>
      <c r="G466" s="69" t="n"/>
    </row>
    <row r="467">
      <c r="A467" s="69" t="n"/>
      <c r="B467" s="72" t="n"/>
      <c r="C467" s="73" t="n"/>
      <c r="D467" s="69" t="n"/>
      <c r="E467" s="69" t="n"/>
      <c r="F467" s="69" t="n"/>
      <c r="G467" s="69" t="n"/>
    </row>
    <row r="468">
      <c r="A468" s="69" t="n"/>
      <c r="B468" s="72" t="n"/>
      <c r="C468" s="73" t="n"/>
      <c r="D468" s="69" t="n"/>
      <c r="E468" s="69" t="n"/>
      <c r="F468" s="69" t="n"/>
      <c r="G468" s="69" t="n"/>
    </row>
    <row r="469">
      <c r="A469" s="69" t="n"/>
      <c r="B469" s="72" t="n"/>
      <c r="C469" s="73" t="n"/>
      <c r="D469" s="69" t="n"/>
      <c r="E469" s="69" t="n"/>
      <c r="F469" s="69" t="n"/>
      <c r="G469" s="69" t="n"/>
    </row>
    <row r="470">
      <c r="A470" s="69" t="n"/>
      <c r="B470" s="72" t="n"/>
      <c r="C470" s="73" t="n"/>
      <c r="D470" s="69" t="n"/>
      <c r="E470" s="69" t="n"/>
      <c r="F470" s="69" t="n"/>
      <c r="G470" s="69" t="n"/>
    </row>
    <row r="471">
      <c r="A471" s="69" t="n"/>
      <c r="B471" s="72" t="n"/>
      <c r="C471" s="73" t="n"/>
      <c r="D471" s="69" t="n"/>
      <c r="E471" s="69" t="n"/>
      <c r="F471" s="69" t="n"/>
      <c r="G471" s="69" t="n"/>
    </row>
    <row r="472">
      <c r="A472" s="69" t="n"/>
      <c r="B472" s="72" t="n"/>
      <c r="C472" s="73" t="n"/>
      <c r="D472" s="69" t="n"/>
      <c r="E472" s="69" t="n"/>
      <c r="F472" s="69" t="n"/>
      <c r="G472" s="69" t="n"/>
    </row>
    <row r="473">
      <c r="A473" s="69" t="n"/>
      <c r="B473" s="72" t="n"/>
      <c r="C473" s="73" t="n"/>
      <c r="D473" s="69" t="n"/>
      <c r="E473" s="69" t="n"/>
      <c r="F473" s="69" t="n"/>
      <c r="G473" s="69" t="n"/>
    </row>
    <row r="474">
      <c r="A474" s="69" t="n"/>
      <c r="B474" s="72" t="n"/>
      <c r="C474" s="73" t="n"/>
      <c r="D474" s="69" t="n"/>
      <c r="E474" s="69" t="n"/>
      <c r="F474" s="69" t="n"/>
      <c r="G474" s="69" t="n"/>
    </row>
    <row r="475">
      <c r="A475" s="69" t="n"/>
      <c r="B475" s="72" t="n"/>
      <c r="C475" s="73" t="n"/>
      <c r="D475" s="69" t="n"/>
      <c r="E475" s="69" t="n"/>
      <c r="F475" s="69" t="n"/>
      <c r="G475" s="69" t="n"/>
    </row>
    <row r="476">
      <c r="A476" s="69" t="n"/>
      <c r="B476" s="72" t="n"/>
      <c r="C476" s="73" t="n"/>
      <c r="D476" s="69" t="n"/>
      <c r="E476" s="69" t="n"/>
      <c r="F476" s="69" t="n"/>
      <c r="G476" s="69" t="n"/>
    </row>
    <row r="477">
      <c r="A477" s="69" t="n"/>
      <c r="B477" s="72" t="n"/>
      <c r="C477" s="73" t="n"/>
      <c r="D477" s="69" t="n"/>
      <c r="E477" s="69" t="n"/>
      <c r="F477" s="69" t="n"/>
      <c r="G477" s="69" t="n"/>
    </row>
    <row r="478">
      <c r="A478" s="69" t="n"/>
      <c r="B478" s="72" t="n"/>
      <c r="C478" s="73" t="n"/>
      <c r="D478" s="69" t="n"/>
      <c r="E478" s="69" t="n"/>
      <c r="F478" s="69" t="n"/>
      <c r="G478" s="69" t="n"/>
    </row>
    <row r="479">
      <c r="A479" s="69" t="n"/>
      <c r="B479" s="72" t="n"/>
      <c r="C479" s="73" t="n"/>
      <c r="D479" s="69" t="n"/>
      <c r="E479" s="69" t="n"/>
      <c r="F479" s="69" t="n"/>
      <c r="G479" s="69" t="n"/>
    </row>
    <row r="480">
      <c r="A480" s="69" t="n"/>
      <c r="B480" s="72" t="n"/>
      <c r="C480" s="73" t="n"/>
      <c r="D480" s="69" t="n"/>
      <c r="E480" s="69" t="n"/>
      <c r="F480" s="69" t="n"/>
      <c r="G480" s="69" t="n"/>
    </row>
    <row r="481">
      <c r="A481" s="69" t="n"/>
      <c r="B481" s="72" t="n"/>
      <c r="C481" s="73" t="n"/>
      <c r="D481" s="69" t="n"/>
      <c r="E481" s="69" t="n"/>
      <c r="F481" s="69" t="n"/>
      <c r="G481" s="69" t="n"/>
    </row>
    <row r="482">
      <c r="A482" s="69" t="n"/>
      <c r="B482" s="72" t="n"/>
      <c r="C482" s="73" t="n"/>
      <c r="D482" s="69" t="n"/>
      <c r="E482" s="69" t="n"/>
      <c r="F482" s="69" t="n"/>
      <c r="G482" s="69" t="n"/>
    </row>
    <row r="483">
      <c r="A483" s="69" t="n"/>
      <c r="B483" s="72" t="n"/>
      <c r="C483" s="73" t="n"/>
      <c r="D483" s="69" t="n"/>
      <c r="E483" s="69" t="n"/>
      <c r="F483" s="69" t="n"/>
      <c r="G483" s="69" t="n"/>
    </row>
    <row r="484">
      <c r="A484" s="69" t="n"/>
      <c r="B484" s="72" t="n"/>
      <c r="C484" s="73" t="n"/>
      <c r="D484" s="69" t="n"/>
      <c r="E484" s="69" t="n"/>
      <c r="F484" s="69" t="n"/>
      <c r="G484" s="69" t="n"/>
    </row>
    <row r="485">
      <c r="A485" s="69" t="n"/>
      <c r="B485" s="72" t="n"/>
      <c r="C485" s="73" t="n"/>
      <c r="D485" s="69" t="n"/>
      <c r="E485" s="69" t="n"/>
      <c r="F485" s="69" t="n"/>
      <c r="G485" s="69" t="n"/>
    </row>
    <row r="486">
      <c r="A486" s="69" t="n"/>
      <c r="B486" s="72" t="n"/>
      <c r="C486" s="73" t="n"/>
      <c r="D486" s="69" t="n"/>
      <c r="E486" s="69" t="n"/>
      <c r="F486" s="69" t="n"/>
      <c r="G486" s="69" t="n"/>
    </row>
    <row r="487">
      <c r="A487" s="69" t="n"/>
      <c r="B487" s="72" t="n"/>
      <c r="C487" s="73" t="n"/>
      <c r="D487" s="69" t="n"/>
      <c r="E487" s="69" t="n"/>
      <c r="F487" s="69" t="n"/>
      <c r="G487" s="69" t="n"/>
    </row>
    <row r="488">
      <c r="A488" s="69" t="n"/>
      <c r="B488" s="72" t="n"/>
      <c r="C488" s="73" t="n"/>
      <c r="D488" s="69" t="n"/>
      <c r="E488" s="69" t="n"/>
      <c r="F488" s="69" t="n"/>
      <c r="G488" s="69" t="n"/>
    </row>
    <row r="489">
      <c r="A489" s="69" t="n"/>
      <c r="B489" s="72" t="n"/>
      <c r="C489" s="73" t="n"/>
      <c r="D489" s="69" t="n"/>
      <c r="E489" s="69" t="n"/>
      <c r="F489" s="69" t="n"/>
      <c r="G489" s="69" t="n"/>
    </row>
    <row r="490">
      <c r="A490" s="69" t="n"/>
      <c r="B490" s="72" t="n"/>
      <c r="C490" s="73" t="n"/>
      <c r="D490" s="69" t="n"/>
      <c r="E490" s="69" t="n"/>
      <c r="F490" s="69" t="n"/>
      <c r="G490" s="69" t="n"/>
    </row>
    <row r="491">
      <c r="A491" s="69" t="n"/>
      <c r="B491" s="72" t="n"/>
      <c r="C491" s="73" t="n"/>
      <c r="D491" s="69" t="n"/>
      <c r="E491" s="69" t="n"/>
      <c r="F491" s="69" t="n"/>
      <c r="G491" s="69" t="n"/>
    </row>
    <row r="492">
      <c r="A492" s="69" t="n"/>
      <c r="B492" s="72" t="n"/>
      <c r="C492" s="73" t="n"/>
      <c r="D492" s="69" t="n"/>
      <c r="E492" s="69" t="n"/>
      <c r="F492" s="69" t="n"/>
      <c r="G492" s="69" t="n"/>
    </row>
    <row r="493">
      <c r="A493" s="69" t="n"/>
      <c r="B493" s="72" t="n"/>
      <c r="C493" s="73" t="n"/>
      <c r="D493" s="69" t="n"/>
      <c r="E493" s="69" t="n"/>
      <c r="F493" s="69" t="n"/>
      <c r="G493" s="69" t="n"/>
    </row>
    <row r="494">
      <c r="A494" s="69" t="n"/>
      <c r="B494" s="72" t="n"/>
      <c r="C494" s="73" t="n"/>
      <c r="D494" s="69" t="n"/>
      <c r="E494" s="69" t="n"/>
      <c r="F494" s="69" t="n"/>
      <c r="G494" s="69" t="n"/>
    </row>
    <row r="495">
      <c r="A495" s="69" t="n"/>
      <c r="B495" s="72" t="n"/>
      <c r="C495" s="73" t="n"/>
      <c r="D495" s="69" t="n"/>
      <c r="E495" s="69" t="n"/>
      <c r="F495" s="69" t="n"/>
      <c r="G495" s="69" t="n"/>
    </row>
    <row r="496">
      <c r="A496" s="69" t="n"/>
      <c r="B496" s="72" t="n"/>
      <c r="C496" s="73" t="n"/>
      <c r="D496" s="69" t="n"/>
      <c r="E496" s="69" t="n"/>
      <c r="F496" s="69" t="n"/>
      <c r="G496" s="69" t="n"/>
    </row>
    <row r="497">
      <c r="A497" s="69" t="n"/>
      <c r="B497" s="72" t="n"/>
      <c r="C497" s="73" t="n"/>
      <c r="D497" s="69" t="n"/>
      <c r="E497" s="69" t="n"/>
      <c r="F497" s="69" t="n"/>
      <c r="G497" s="69" t="n"/>
    </row>
    <row r="498">
      <c r="A498" s="69" t="n"/>
      <c r="B498" s="72" t="n"/>
      <c r="C498" s="73" t="n"/>
      <c r="D498" s="69" t="n"/>
      <c r="E498" s="69" t="n"/>
      <c r="F498" s="69" t="n"/>
      <c r="G498" s="69" t="n"/>
    </row>
    <row r="499">
      <c r="A499" s="69" t="n"/>
      <c r="B499" s="72" t="n"/>
      <c r="C499" s="73" t="n"/>
      <c r="D499" s="69" t="n"/>
      <c r="E499" s="69" t="n"/>
      <c r="F499" s="69" t="n"/>
      <c r="G499" s="69" t="n"/>
    </row>
    <row r="500">
      <c r="A500" s="69" t="n"/>
      <c r="B500" s="72" t="n"/>
      <c r="C500" s="73" t="n"/>
      <c r="D500" s="69" t="n"/>
      <c r="E500" s="69" t="n"/>
      <c r="F500" s="69" t="n"/>
      <c r="G500" s="69" t="n"/>
    </row>
    <row r="501">
      <c r="A501" s="69" t="n"/>
      <c r="B501" s="72" t="n"/>
      <c r="C501" s="73" t="n"/>
      <c r="D501" s="69" t="n"/>
      <c r="E501" s="69" t="n"/>
      <c r="F501" s="69" t="n"/>
      <c r="G501" s="69" t="n"/>
    </row>
    <row r="502">
      <c r="A502" s="69" t="n"/>
      <c r="B502" s="72" t="n"/>
      <c r="C502" s="73" t="n"/>
      <c r="D502" s="69" t="n"/>
      <c r="E502" s="69" t="n"/>
      <c r="F502" s="69" t="n"/>
      <c r="G502" s="69" t="n"/>
    </row>
    <row r="503">
      <c r="A503" s="69" t="n"/>
      <c r="B503" s="72" t="n"/>
      <c r="C503" s="73" t="n"/>
      <c r="D503" s="69" t="n"/>
      <c r="E503" s="69" t="n"/>
      <c r="F503" s="69" t="n"/>
      <c r="G503" s="69" t="n"/>
    </row>
    <row r="504">
      <c r="A504" s="69" t="n"/>
      <c r="B504" s="72" t="n"/>
      <c r="C504" s="73" t="n"/>
      <c r="D504" s="69" t="n"/>
      <c r="E504" s="69" t="n"/>
      <c r="F504" s="69" t="n"/>
      <c r="G504" s="69" t="n"/>
    </row>
    <row r="505">
      <c r="A505" s="69" t="n"/>
      <c r="B505" s="72" t="n"/>
      <c r="C505" s="73" t="n"/>
      <c r="D505" s="69" t="n"/>
      <c r="E505" s="69" t="n"/>
      <c r="F505" s="69" t="n"/>
      <c r="G505" s="69" t="n"/>
    </row>
    <row r="506">
      <c r="A506" s="69" t="n"/>
      <c r="B506" s="72" t="n"/>
      <c r="C506" s="73" t="n"/>
      <c r="D506" s="69" t="n"/>
      <c r="E506" s="69" t="n"/>
      <c r="F506" s="69" t="n"/>
      <c r="G506" s="69" t="n"/>
    </row>
    <row r="507">
      <c r="A507" s="69" t="n"/>
      <c r="B507" s="72" t="n"/>
      <c r="C507" s="73" t="n"/>
      <c r="D507" s="69" t="n"/>
      <c r="E507" s="69" t="n"/>
      <c r="F507" s="69" t="n"/>
      <c r="G507" s="69" t="n"/>
    </row>
    <row r="508">
      <c r="A508" s="69" t="n"/>
      <c r="B508" s="72" t="n"/>
      <c r="C508" s="73" t="n"/>
      <c r="D508" s="69" t="n"/>
      <c r="E508" s="69" t="n"/>
      <c r="F508" s="69" t="n"/>
      <c r="G508" s="69" t="n"/>
    </row>
    <row r="509">
      <c r="A509" s="69" t="n"/>
      <c r="B509" s="72" t="n"/>
      <c r="C509" s="73" t="n"/>
      <c r="D509" s="69" t="n"/>
      <c r="E509" s="69" t="n"/>
      <c r="F509" s="69" t="n"/>
      <c r="G509" s="69" t="n"/>
    </row>
    <row r="510">
      <c r="A510" s="69" t="n"/>
      <c r="B510" s="72" t="n"/>
      <c r="C510" s="73" t="n"/>
      <c r="D510" s="69" t="n"/>
      <c r="E510" s="69" t="n"/>
      <c r="F510" s="69" t="n"/>
      <c r="G510" s="69" t="n"/>
    </row>
    <row r="511">
      <c r="A511" s="69" t="n"/>
      <c r="B511" s="72" t="n"/>
      <c r="C511" s="73" t="n"/>
      <c r="D511" s="69" t="n"/>
      <c r="E511" s="69" t="n"/>
      <c r="F511" s="69" t="n"/>
      <c r="G511" s="69" t="n"/>
    </row>
    <row r="512">
      <c r="A512" s="69" t="n"/>
      <c r="B512" s="72" t="n"/>
      <c r="C512" s="73" t="n"/>
      <c r="D512" s="69" t="n"/>
      <c r="E512" s="69" t="n"/>
      <c r="F512" s="69" t="n"/>
      <c r="G512" s="69" t="n"/>
    </row>
    <row r="513">
      <c r="A513" s="69" t="n"/>
      <c r="B513" s="72" t="n"/>
      <c r="C513" s="73" t="n"/>
      <c r="D513" s="69" t="n"/>
      <c r="E513" s="69" t="n"/>
      <c r="F513" s="69" t="n"/>
      <c r="G513" s="69" t="n"/>
    </row>
    <row r="514">
      <c r="A514" s="69" t="n"/>
      <c r="B514" s="72" t="n"/>
      <c r="C514" s="73" t="n"/>
      <c r="D514" s="69" t="n"/>
      <c r="E514" s="69" t="n"/>
      <c r="F514" s="69" t="n"/>
      <c r="G514" s="69" t="n"/>
    </row>
    <row r="515">
      <c r="A515" s="69" t="n"/>
      <c r="B515" s="72" t="n"/>
      <c r="C515" s="73" t="n"/>
      <c r="D515" s="69" t="n"/>
      <c r="E515" s="69" t="n"/>
      <c r="F515" s="69" t="n"/>
      <c r="G515" s="69" t="n"/>
    </row>
    <row r="516">
      <c r="A516" s="69" t="n"/>
      <c r="B516" s="72" t="n"/>
      <c r="C516" s="73" t="n"/>
      <c r="D516" s="69" t="n"/>
      <c r="E516" s="69" t="n"/>
      <c r="F516" s="69" t="n"/>
      <c r="G516" s="69" t="n"/>
    </row>
    <row r="517">
      <c r="A517" s="69" t="n"/>
      <c r="B517" s="72" t="n"/>
      <c r="C517" s="73" t="n"/>
      <c r="D517" s="69" t="n"/>
      <c r="E517" s="69" t="n"/>
      <c r="F517" s="69" t="n"/>
      <c r="G517" s="69" t="n"/>
    </row>
    <row r="518">
      <c r="A518" s="69" t="n"/>
      <c r="B518" s="72" t="n"/>
      <c r="C518" s="73" t="n"/>
      <c r="D518" s="69" t="n"/>
      <c r="E518" s="69" t="n"/>
      <c r="F518" s="69" t="n"/>
      <c r="G518" s="69" t="n"/>
    </row>
    <row r="519">
      <c r="A519" s="69" t="n"/>
      <c r="B519" s="72" t="n"/>
      <c r="C519" s="73" t="n"/>
      <c r="D519" s="69" t="n"/>
      <c r="E519" s="69" t="n"/>
      <c r="F519" s="69" t="n"/>
      <c r="G519" s="69" t="n"/>
    </row>
    <row r="520">
      <c r="A520" s="69" t="n"/>
      <c r="B520" s="72" t="n"/>
      <c r="C520" s="73" t="n"/>
      <c r="D520" s="69" t="n"/>
      <c r="E520" s="69" t="n"/>
      <c r="F520" s="69" t="n"/>
      <c r="G520" s="69" t="n"/>
    </row>
    <row r="521">
      <c r="A521" s="69" t="n"/>
      <c r="B521" s="72" t="n"/>
      <c r="C521" s="73" t="n"/>
      <c r="D521" s="69" t="n"/>
      <c r="E521" s="69" t="n"/>
      <c r="F521" s="69" t="n"/>
      <c r="G521" s="69" t="n"/>
    </row>
    <row r="522">
      <c r="A522" s="69" t="n"/>
      <c r="B522" s="72" t="n"/>
      <c r="C522" s="73" t="n"/>
      <c r="D522" s="69" t="n"/>
      <c r="E522" s="69" t="n"/>
      <c r="F522" s="69" t="n"/>
      <c r="G522" s="69" t="n"/>
    </row>
    <row r="523">
      <c r="A523" s="69" t="n"/>
      <c r="B523" s="72" t="n"/>
      <c r="C523" s="73" t="n"/>
      <c r="D523" s="69" t="n"/>
      <c r="E523" s="69" t="n"/>
      <c r="F523" s="69" t="n"/>
      <c r="G523" s="69" t="n"/>
    </row>
    <row r="524">
      <c r="A524" s="69" t="n"/>
      <c r="B524" s="72" t="n"/>
      <c r="C524" s="73" t="n"/>
      <c r="D524" s="69" t="n"/>
      <c r="E524" s="69" t="n"/>
      <c r="F524" s="69" t="n"/>
      <c r="G524" s="69" t="n"/>
    </row>
    <row r="525">
      <c r="A525" s="69" t="n"/>
      <c r="B525" s="72" t="n"/>
      <c r="C525" s="73" t="n"/>
      <c r="D525" s="69" t="n"/>
      <c r="E525" s="69" t="n"/>
      <c r="F525" s="69" t="n"/>
      <c r="G525" s="69" t="n"/>
    </row>
    <row r="526">
      <c r="A526" s="69" t="n"/>
      <c r="B526" s="72" t="n"/>
      <c r="C526" s="73" t="n"/>
      <c r="D526" s="69" t="n"/>
      <c r="E526" s="69" t="n"/>
      <c r="F526" s="69" t="n"/>
      <c r="G526" s="69" t="n"/>
    </row>
    <row r="527">
      <c r="A527" s="69" t="n"/>
      <c r="B527" s="72" t="n"/>
      <c r="C527" s="73" t="n"/>
      <c r="D527" s="69" t="n"/>
      <c r="E527" s="69" t="n"/>
      <c r="F527" s="69" t="n"/>
      <c r="G527" s="69" t="n"/>
    </row>
    <row r="528">
      <c r="A528" s="69" t="n"/>
      <c r="B528" s="72" t="n"/>
      <c r="C528" s="73" t="n"/>
      <c r="D528" s="69" t="n"/>
      <c r="E528" s="69" t="n"/>
      <c r="F528" s="69" t="n"/>
      <c r="G528" s="69" t="n"/>
    </row>
    <row r="529">
      <c r="A529" s="69" t="n"/>
      <c r="B529" s="72" t="n"/>
      <c r="C529" s="73" t="n"/>
      <c r="D529" s="69" t="n"/>
      <c r="E529" s="69" t="n"/>
      <c r="F529" s="69" t="n"/>
      <c r="G529" s="69" t="n"/>
    </row>
    <row r="530">
      <c r="A530" s="69" t="n"/>
      <c r="B530" s="72" t="n"/>
      <c r="C530" s="73" t="n"/>
      <c r="D530" s="69" t="n"/>
      <c r="E530" s="69" t="n"/>
      <c r="F530" s="69" t="n"/>
      <c r="G530" s="69" t="n"/>
    </row>
    <row r="531">
      <c r="A531" s="69" t="n"/>
      <c r="B531" s="72" t="n"/>
      <c r="C531" s="73" t="n"/>
      <c r="D531" s="69" t="n"/>
      <c r="E531" s="69" t="n"/>
      <c r="F531" s="69" t="n"/>
      <c r="G531" s="69" t="n"/>
    </row>
    <row r="532">
      <c r="A532" s="69" t="n"/>
      <c r="B532" s="72" t="n"/>
      <c r="C532" s="73" t="n"/>
      <c r="D532" s="69" t="n"/>
      <c r="E532" s="69" t="n"/>
      <c r="F532" s="69" t="n"/>
      <c r="G532" s="69" t="n"/>
    </row>
    <row r="533">
      <c r="A533" s="69" t="n"/>
      <c r="B533" s="72" t="n"/>
      <c r="C533" s="73" t="n"/>
      <c r="D533" s="69" t="n"/>
      <c r="E533" s="69" t="n"/>
      <c r="F533" s="69" t="n"/>
      <c r="G533" s="69" t="n"/>
    </row>
    <row r="534">
      <c r="A534" s="69" t="n"/>
      <c r="B534" s="72" t="n"/>
      <c r="C534" s="73" t="n"/>
      <c r="D534" s="69" t="n"/>
      <c r="E534" s="69" t="n"/>
      <c r="F534" s="69" t="n"/>
      <c r="G534" s="69" t="n"/>
    </row>
    <row r="535">
      <c r="A535" s="69" t="n"/>
      <c r="B535" s="72" t="n"/>
      <c r="C535" s="73" t="n"/>
      <c r="D535" s="69" t="n"/>
      <c r="E535" s="69" t="n"/>
      <c r="F535" s="69" t="n"/>
      <c r="G535" s="69" t="n"/>
    </row>
    <row r="536">
      <c r="A536" s="69" t="n"/>
      <c r="B536" s="72" t="n"/>
      <c r="C536" s="73" t="n"/>
      <c r="D536" s="69" t="n"/>
      <c r="E536" s="69" t="n"/>
      <c r="F536" s="69" t="n"/>
      <c r="G536" s="69" t="n"/>
    </row>
    <row r="537">
      <c r="A537" s="69" t="n"/>
      <c r="B537" s="72" t="n"/>
      <c r="C537" s="73" t="n"/>
      <c r="D537" s="69" t="n"/>
      <c r="E537" s="69" t="n"/>
      <c r="F537" s="69" t="n"/>
      <c r="G537" s="69" t="n"/>
    </row>
    <row r="538">
      <c r="A538" s="69" t="n"/>
      <c r="B538" s="72" t="n"/>
      <c r="C538" s="73" t="n"/>
      <c r="D538" s="69" t="n"/>
      <c r="E538" s="69" t="n"/>
      <c r="F538" s="69" t="n"/>
      <c r="G538" s="69" t="n"/>
    </row>
    <row r="539">
      <c r="A539" s="69" t="n"/>
      <c r="B539" s="72" t="n"/>
      <c r="C539" s="73" t="n"/>
      <c r="D539" s="69" t="n"/>
      <c r="E539" s="69" t="n"/>
      <c r="F539" s="69" t="n"/>
      <c r="G539" s="69" t="n"/>
    </row>
    <row r="540">
      <c r="A540" s="69" t="n"/>
      <c r="B540" s="72" t="n"/>
      <c r="C540" s="73" t="n"/>
      <c r="D540" s="69" t="n"/>
      <c r="E540" s="69" t="n"/>
      <c r="F540" s="69" t="n"/>
      <c r="G540" s="69" t="n"/>
    </row>
    <row r="541">
      <c r="A541" s="69" t="n"/>
      <c r="B541" s="72" t="n"/>
      <c r="C541" s="73" t="n"/>
      <c r="D541" s="69" t="n"/>
      <c r="E541" s="69" t="n"/>
      <c r="F541" s="69" t="n"/>
      <c r="G541" s="69" t="n"/>
    </row>
    <row r="542">
      <c r="A542" s="69" t="n"/>
      <c r="B542" s="72" t="n"/>
      <c r="C542" s="73" t="n"/>
      <c r="D542" s="69" t="n"/>
      <c r="E542" s="69" t="n"/>
      <c r="F542" s="69" t="n"/>
      <c r="G542" s="69" t="n"/>
    </row>
    <row r="543">
      <c r="A543" s="69" t="n"/>
      <c r="B543" s="72" t="n"/>
      <c r="C543" s="73" t="n"/>
      <c r="D543" s="69" t="n"/>
      <c r="E543" s="69" t="n"/>
      <c r="F543" s="69" t="n"/>
      <c r="G543" s="69" t="n"/>
    </row>
    <row r="544">
      <c r="A544" s="69" t="n"/>
      <c r="B544" s="72" t="n"/>
      <c r="C544" s="73" t="n"/>
      <c r="D544" s="69" t="n"/>
      <c r="E544" s="69" t="n"/>
      <c r="F544" s="69" t="n"/>
      <c r="G544" s="69" t="n"/>
    </row>
    <row r="545">
      <c r="A545" s="69" t="n"/>
      <c r="B545" s="72" t="n"/>
      <c r="C545" s="73" t="n"/>
      <c r="D545" s="69" t="n"/>
      <c r="E545" s="69" t="n"/>
      <c r="F545" s="69" t="n"/>
      <c r="G545" s="69" t="n"/>
    </row>
    <row r="546">
      <c r="A546" s="69" t="n"/>
      <c r="B546" s="72" t="n"/>
      <c r="C546" s="73" t="n"/>
      <c r="D546" s="69" t="n"/>
      <c r="E546" s="69" t="n"/>
      <c r="F546" s="69" t="n"/>
      <c r="G546" s="69" t="n"/>
    </row>
    <row r="547">
      <c r="A547" s="69" t="n"/>
      <c r="B547" s="72" t="n"/>
      <c r="C547" s="73" t="n"/>
      <c r="D547" s="69" t="n"/>
      <c r="E547" s="69" t="n"/>
      <c r="F547" s="69" t="n"/>
      <c r="G547" s="69" t="n"/>
    </row>
    <row r="548">
      <c r="A548" s="69" t="n"/>
      <c r="B548" s="72" t="n"/>
      <c r="C548" s="73" t="n"/>
      <c r="D548" s="69" t="n"/>
      <c r="E548" s="69" t="n"/>
      <c r="F548" s="69" t="n"/>
      <c r="G548" s="69" t="n"/>
    </row>
    <row r="549">
      <c r="A549" s="69" t="n"/>
      <c r="B549" s="72" t="n"/>
      <c r="C549" s="73" t="n"/>
      <c r="D549" s="69" t="n"/>
      <c r="E549" s="69" t="n"/>
      <c r="F549" s="69" t="n"/>
      <c r="G549" s="69" t="n"/>
    </row>
    <row r="550">
      <c r="A550" s="69" t="n"/>
      <c r="B550" s="72" t="n"/>
      <c r="C550" s="73" t="n"/>
      <c r="D550" s="69" t="n"/>
      <c r="E550" s="69" t="n"/>
      <c r="F550" s="69" t="n"/>
      <c r="G550" s="69" t="n"/>
    </row>
    <row r="551">
      <c r="A551" s="69" t="n"/>
      <c r="B551" s="72" t="n"/>
      <c r="C551" s="73" t="n"/>
      <c r="D551" s="69" t="n"/>
      <c r="E551" s="69" t="n"/>
      <c r="F551" s="69" t="n"/>
      <c r="G551" s="69" t="n"/>
    </row>
    <row r="552">
      <c r="A552" s="69" t="n"/>
      <c r="B552" s="72" t="n"/>
      <c r="C552" s="73" t="n"/>
      <c r="D552" s="69" t="n"/>
      <c r="E552" s="69" t="n"/>
      <c r="F552" s="69" t="n"/>
      <c r="G552" s="69" t="n"/>
    </row>
    <row r="553">
      <c r="A553" s="69" t="n"/>
      <c r="B553" s="72" t="n"/>
      <c r="C553" s="73" t="n"/>
      <c r="D553" s="69" t="n"/>
      <c r="E553" s="69" t="n"/>
      <c r="F553" s="69" t="n"/>
      <c r="G553" s="69" t="n"/>
    </row>
    <row r="554">
      <c r="A554" s="69" t="n"/>
      <c r="B554" s="72" t="n"/>
      <c r="C554" s="73" t="n"/>
      <c r="D554" s="69" t="n"/>
      <c r="E554" s="69" t="n"/>
      <c r="F554" s="69" t="n"/>
      <c r="G554" s="69" t="n"/>
    </row>
    <row r="555">
      <c r="A555" s="69" t="n"/>
      <c r="B555" s="72" t="n"/>
      <c r="C555" s="73" t="n"/>
      <c r="D555" s="69" t="n"/>
      <c r="E555" s="69" t="n"/>
      <c r="F555" s="69" t="n"/>
      <c r="G555" s="69" t="n"/>
    </row>
    <row r="556">
      <c r="A556" s="69" t="n"/>
      <c r="B556" s="72" t="n"/>
      <c r="C556" s="73" t="n"/>
      <c r="D556" s="69" t="n"/>
      <c r="E556" s="69" t="n"/>
      <c r="F556" s="69" t="n"/>
      <c r="G556" s="69" t="n"/>
    </row>
    <row r="557">
      <c r="A557" s="69" t="n"/>
      <c r="B557" s="72" t="n"/>
      <c r="C557" s="73" t="n"/>
      <c r="D557" s="69" t="n"/>
      <c r="E557" s="69" t="n"/>
      <c r="F557" s="69" t="n"/>
      <c r="G557" s="69" t="n"/>
    </row>
    <row r="558">
      <c r="A558" s="69" t="n"/>
      <c r="B558" s="72" t="n"/>
      <c r="C558" s="73" t="n"/>
      <c r="D558" s="69" t="n"/>
      <c r="E558" s="69" t="n"/>
      <c r="F558" s="69" t="n"/>
      <c r="G558" s="69" t="n"/>
    </row>
    <row r="559">
      <c r="A559" s="69" t="n"/>
      <c r="B559" s="72" t="n"/>
      <c r="C559" s="73" t="n"/>
      <c r="D559" s="69" t="n"/>
      <c r="E559" s="69" t="n"/>
      <c r="F559" s="69" t="n"/>
      <c r="G559" s="69" t="n"/>
    </row>
    <row r="560">
      <c r="A560" s="69" t="n"/>
      <c r="B560" s="72" t="n"/>
      <c r="C560" s="73" t="n"/>
      <c r="D560" s="69" t="n"/>
      <c r="E560" s="69" t="n"/>
      <c r="F560" s="69" t="n"/>
      <c r="G560" s="69" t="n"/>
    </row>
    <row r="561">
      <c r="A561" s="69" t="n"/>
      <c r="B561" s="72" t="n"/>
      <c r="C561" s="73" t="n"/>
      <c r="D561" s="69" t="n"/>
      <c r="E561" s="69" t="n"/>
      <c r="F561" s="69" t="n"/>
      <c r="G561" s="69" t="n"/>
    </row>
    <row r="562">
      <c r="A562" s="69" t="n"/>
      <c r="B562" s="72" t="n"/>
      <c r="C562" s="73" t="n"/>
      <c r="D562" s="69" t="n"/>
      <c r="E562" s="69" t="n"/>
      <c r="F562" s="69" t="n"/>
      <c r="G562" s="69" t="n"/>
    </row>
    <row r="563">
      <c r="A563" s="69" t="n"/>
      <c r="B563" s="72" t="n"/>
      <c r="C563" s="73" t="n"/>
      <c r="D563" s="69" t="n"/>
      <c r="E563" s="69" t="n"/>
      <c r="F563" s="69" t="n"/>
      <c r="G563" s="69" t="n"/>
    </row>
    <row r="564">
      <c r="A564" s="69" t="n"/>
      <c r="B564" s="72" t="n"/>
      <c r="C564" s="73" t="n"/>
      <c r="D564" s="69" t="n"/>
      <c r="E564" s="69" t="n"/>
      <c r="F564" s="69" t="n"/>
      <c r="G564" s="69" t="n"/>
    </row>
    <row r="565">
      <c r="A565" s="69" t="n"/>
      <c r="B565" s="72" t="n"/>
      <c r="C565" s="73" t="n"/>
      <c r="D565" s="69" t="n"/>
      <c r="E565" s="69" t="n"/>
      <c r="F565" s="69" t="n"/>
      <c r="G565" s="69" t="n"/>
    </row>
    <row r="566">
      <c r="A566" s="69" t="n"/>
      <c r="B566" s="72" t="n"/>
      <c r="C566" s="73" t="n"/>
      <c r="D566" s="69" t="n"/>
      <c r="E566" s="69" t="n"/>
      <c r="F566" s="69" t="n"/>
      <c r="G566" s="69" t="n"/>
    </row>
    <row r="567">
      <c r="A567" s="69" t="n"/>
      <c r="B567" s="72" t="n"/>
      <c r="C567" s="73" t="n"/>
      <c r="D567" s="69" t="n"/>
      <c r="E567" s="69" t="n"/>
      <c r="F567" s="69" t="n"/>
      <c r="G567" s="69" t="n"/>
    </row>
    <row r="568">
      <c r="A568" s="69" t="n"/>
      <c r="B568" s="72" t="n"/>
      <c r="C568" s="73" t="n"/>
      <c r="D568" s="69" t="n"/>
      <c r="E568" s="69" t="n"/>
      <c r="F568" s="69" t="n"/>
      <c r="G568" s="69" t="n"/>
    </row>
    <row r="569">
      <c r="A569" s="69" t="n"/>
      <c r="B569" s="72" t="n"/>
      <c r="C569" s="73" t="n"/>
      <c r="D569" s="69" t="n"/>
      <c r="E569" s="69" t="n"/>
      <c r="F569" s="69" t="n"/>
      <c r="G569" s="69" t="n"/>
    </row>
    <row r="570">
      <c r="A570" s="69" t="n"/>
      <c r="B570" s="72" t="n"/>
      <c r="C570" s="73" t="n"/>
      <c r="D570" s="69" t="n"/>
      <c r="E570" s="69" t="n"/>
      <c r="F570" s="69" t="n"/>
      <c r="G570" s="69" t="n"/>
    </row>
    <row r="571">
      <c r="A571" s="69" t="n"/>
      <c r="B571" s="72" t="n"/>
      <c r="C571" s="73" t="n"/>
      <c r="D571" s="69" t="n"/>
      <c r="E571" s="69" t="n"/>
      <c r="F571" s="69" t="n"/>
      <c r="G571" s="69" t="n"/>
    </row>
    <row r="572">
      <c r="A572" s="69" t="n"/>
      <c r="B572" s="72" t="n"/>
      <c r="C572" s="73" t="n"/>
      <c r="D572" s="69" t="n"/>
      <c r="E572" s="69" t="n"/>
      <c r="F572" s="69" t="n"/>
      <c r="G572" s="69" t="n"/>
    </row>
    <row r="573">
      <c r="A573" s="69" t="n"/>
      <c r="B573" s="72" t="n"/>
      <c r="C573" s="73" t="n"/>
      <c r="D573" s="69" t="n"/>
      <c r="E573" s="69" t="n"/>
      <c r="F573" s="69" t="n"/>
      <c r="G573" s="69" t="n"/>
    </row>
    <row r="574">
      <c r="A574" s="69" t="n"/>
      <c r="B574" s="72" t="n"/>
      <c r="C574" s="73" t="n"/>
      <c r="D574" s="69" t="n"/>
      <c r="E574" s="69" t="n"/>
      <c r="F574" s="69" t="n"/>
      <c r="G574" s="69" t="n"/>
    </row>
    <row r="575">
      <c r="A575" s="69" t="n"/>
      <c r="B575" s="72" t="n"/>
      <c r="C575" s="73" t="n"/>
      <c r="D575" s="69" t="n"/>
      <c r="E575" s="69" t="n"/>
      <c r="F575" s="69" t="n"/>
      <c r="G575" s="69" t="n"/>
    </row>
    <row r="576">
      <c r="A576" s="69" t="n"/>
      <c r="B576" s="72" t="n"/>
      <c r="C576" s="73" t="n"/>
      <c r="D576" s="69" t="n"/>
      <c r="E576" s="69" t="n"/>
      <c r="F576" s="69" t="n"/>
      <c r="G576" s="69" t="n"/>
    </row>
    <row r="577">
      <c r="A577" s="69" t="n"/>
      <c r="B577" s="72" t="n"/>
      <c r="C577" s="73" t="n"/>
      <c r="D577" s="69" t="n"/>
      <c r="E577" s="69" t="n"/>
      <c r="F577" s="69" t="n"/>
      <c r="G577" s="69" t="n"/>
    </row>
    <row r="578">
      <c r="A578" s="69" t="n"/>
      <c r="B578" s="72" t="n"/>
      <c r="C578" s="73" t="n"/>
      <c r="D578" s="69" t="n"/>
      <c r="E578" s="69" t="n"/>
      <c r="F578" s="69" t="n"/>
      <c r="G578" s="69" t="n"/>
    </row>
    <row r="579">
      <c r="A579" s="69" t="n"/>
      <c r="B579" s="72" t="n"/>
      <c r="C579" s="73" t="n"/>
      <c r="D579" s="69" t="n"/>
      <c r="E579" s="69" t="n"/>
      <c r="F579" s="69" t="n"/>
      <c r="G579" s="69" t="n"/>
    </row>
    <row r="580">
      <c r="A580" s="69" t="n"/>
      <c r="B580" s="72" t="n"/>
      <c r="C580" s="73" t="n"/>
      <c r="D580" s="69" t="n"/>
      <c r="E580" s="69" t="n"/>
      <c r="F580" s="69" t="n"/>
      <c r="G580" s="69" t="n"/>
    </row>
    <row r="581">
      <c r="A581" s="69" t="n"/>
      <c r="B581" s="72" t="n"/>
      <c r="C581" s="73" t="n"/>
      <c r="D581" s="69" t="n"/>
      <c r="E581" s="69" t="n"/>
      <c r="F581" s="69" t="n"/>
      <c r="G581" s="69" t="n"/>
    </row>
    <row r="582">
      <c r="A582" s="69" t="n"/>
      <c r="B582" s="72" t="n"/>
      <c r="C582" s="73" t="n"/>
      <c r="D582" s="69" t="n"/>
      <c r="E582" s="69" t="n"/>
      <c r="F582" s="69" t="n"/>
      <c r="G582" s="69" t="n"/>
    </row>
    <row r="583">
      <c r="A583" s="69" t="n"/>
      <c r="B583" s="72" t="n"/>
      <c r="C583" s="73" t="n"/>
      <c r="D583" s="69" t="n"/>
      <c r="E583" s="69" t="n"/>
      <c r="F583" s="69" t="n"/>
      <c r="G583" s="69" t="n"/>
    </row>
    <row r="584">
      <c r="A584" s="69" t="n"/>
      <c r="B584" s="72" t="n"/>
      <c r="C584" s="73" t="n"/>
      <c r="D584" s="69" t="n"/>
      <c r="E584" s="69" t="n"/>
      <c r="F584" s="69" t="n"/>
      <c r="G584" s="69" t="n"/>
    </row>
    <row r="585">
      <c r="A585" s="69" t="n"/>
      <c r="B585" s="72" t="n"/>
      <c r="C585" s="73" t="n"/>
      <c r="D585" s="69" t="n"/>
      <c r="E585" s="69" t="n"/>
      <c r="F585" s="69" t="n"/>
      <c r="G585" s="69" t="n"/>
    </row>
    <row r="586">
      <c r="A586" s="69" t="n"/>
      <c r="B586" s="72" t="n"/>
      <c r="C586" s="73" t="n"/>
      <c r="D586" s="69" t="n"/>
      <c r="E586" s="69" t="n"/>
      <c r="F586" s="69" t="n"/>
      <c r="G586" s="69" t="n"/>
    </row>
    <row r="587">
      <c r="A587" s="69" t="n"/>
      <c r="B587" s="72" t="n"/>
      <c r="C587" s="73" t="n"/>
      <c r="D587" s="69" t="n"/>
      <c r="E587" s="69" t="n"/>
      <c r="F587" s="69" t="n"/>
      <c r="G587" s="69" t="n"/>
    </row>
    <row r="588">
      <c r="A588" s="69" t="n"/>
      <c r="B588" s="72" t="n"/>
      <c r="C588" s="73" t="n"/>
      <c r="D588" s="69" t="n"/>
      <c r="E588" s="69" t="n"/>
      <c r="F588" s="69" t="n"/>
      <c r="G588" s="69" t="n"/>
    </row>
    <row r="589">
      <c r="A589" s="69" t="n"/>
      <c r="B589" s="72" t="n"/>
      <c r="C589" s="73" t="n"/>
      <c r="D589" s="69" t="n"/>
      <c r="E589" s="69" t="n"/>
      <c r="F589" s="69" t="n"/>
      <c r="G589" s="69" t="n"/>
    </row>
    <row r="590">
      <c r="A590" s="69" t="n"/>
      <c r="B590" s="72" t="n"/>
      <c r="C590" s="73" t="n"/>
      <c r="D590" s="69" t="n"/>
      <c r="E590" s="69" t="n"/>
      <c r="F590" s="69" t="n"/>
      <c r="G590" s="69" t="n"/>
    </row>
    <row r="591">
      <c r="A591" s="69" t="n"/>
      <c r="B591" s="72" t="n"/>
      <c r="C591" s="73" t="n"/>
      <c r="D591" s="69" t="n"/>
      <c r="E591" s="69" t="n"/>
      <c r="F591" s="69" t="n"/>
      <c r="G591" s="69" t="n"/>
    </row>
    <row r="592">
      <c r="A592" s="69" t="n"/>
      <c r="B592" s="72" t="n"/>
      <c r="C592" s="73" t="n"/>
      <c r="D592" s="69" t="n"/>
      <c r="E592" s="69" t="n"/>
      <c r="F592" s="69" t="n"/>
      <c r="G592" s="69" t="n"/>
    </row>
    <row r="593">
      <c r="A593" s="69" t="n"/>
      <c r="B593" s="72" t="n"/>
      <c r="C593" s="73" t="n"/>
      <c r="D593" s="69" t="n"/>
      <c r="E593" s="69" t="n"/>
      <c r="F593" s="69" t="n"/>
      <c r="G593" s="69" t="n"/>
    </row>
    <row r="594">
      <c r="A594" s="69" t="n"/>
      <c r="B594" s="72" t="n"/>
      <c r="C594" s="73" t="n"/>
      <c r="D594" s="69" t="n"/>
      <c r="E594" s="69" t="n"/>
      <c r="F594" s="69" t="n"/>
      <c r="G594" s="69" t="n"/>
    </row>
    <row r="595">
      <c r="A595" s="69" t="n"/>
      <c r="B595" s="72" t="n"/>
      <c r="C595" s="73" t="n"/>
      <c r="D595" s="69" t="n"/>
      <c r="E595" s="69" t="n"/>
      <c r="F595" s="69" t="n"/>
      <c r="G595" s="69" t="n"/>
    </row>
    <row r="596">
      <c r="A596" s="69" t="n"/>
      <c r="B596" s="72" t="n"/>
      <c r="C596" s="73" t="n"/>
      <c r="D596" s="69" t="n"/>
      <c r="E596" s="69" t="n"/>
      <c r="F596" s="69" t="n"/>
      <c r="G596" s="69" t="n"/>
    </row>
    <row r="597">
      <c r="A597" s="69" t="n"/>
      <c r="B597" s="72" t="n"/>
      <c r="C597" s="73" t="n"/>
      <c r="D597" s="69" t="n"/>
      <c r="E597" s="69" t="n"/>
      <c r="F597" s="69" t="n"/>
      <c r="G597" s="69" t="n"/>
    </row>
    <row r="598">
      <c r="A598" s="69" t="n"/>
      <c r="B598" s="72" t="n"/>
      <c r="C598" s="73" t="n"/>
      <c r="D598" s="69" t="n"/>
      <c r="E598" s="69" t="n"/>
      <c r="F598" s="69" t="n"/>
      <c r="G598" s="69" t="n"/>
    </row>
    <row r="599">
      <c r="A599" s="69" t="n"/>
      <c r="B599" s="72" t="n"/>
      <c r="C599" s="73" t="n"/>
      <c r="D599" s="69" t="n"/>
      <c r="E599" s="69" t="n"/>
      <c r="F599" s="69" t="n"/>
      <c r="G599" s="69" t="n"/>
    </row>
    <row r="600">
      <c r="A600" s="69" t="n"/>
      <c r="B600" s="72" t="n"/>
      <c r="C600" s="73" t="n"/>
      <c r="D600" s="69" t="n"/>
      <c r="E600" s="69" t="n"/>
      <c r="F600" s="69" t="n"/>
      <c r="G600" s="69" t="n"/>
    </row>
    <row r="601">
      <c r="A601" s="69" t="n"/>
      <c r="B601" s="72" t="n"/>
      <c r="C601" s="73" t="n"/>
      <c r="D601" s="69" t="n"/>
      <c r="E601" s="69" t="n"/>
      <c r="F601" s="69" t="n"/>
      <c r="G601" s="69" t="n"/>
    </row>
    <row r="602">
      <c r="A602" s="69" t="n"/>
      <c r="B602" s="72" t="n"/>
      <c r="C602" s="73" t="n"/>
      <c r="D602" s="69" t="n"/>
      <c r="E602" s="69" t="n"/>
      <c r="F602" s="69" t="n"/>
      <c r="G602" s="69" t="n"/>
    </row>
    <row r="603">
      <c r="A603" s="69" t="n"/>
      <c r="B603" s="72" t="n"/>
      <c r="C603" s="73" t="n"/>
      <c r="D603" s="69" t="n"/>
      <c r="E603" s="69" t="n"/>
      <c r="F603" s="69" t="n"/>
      <c r="G603" s="69" t="n"/>
    </row>
    <row r="604">
      <c r="A604" s="69" t="n"/>
      <c r="B604" s="72" t="n"/>
      <c r="C604" s="73" t="n"/>
      <c r="D604" s="69" t="n"/>
      <c r="E604" s="69" t="n"/>
      <c r="F604" s="69" t="n"/>
      <c r="G604" s="69" t="n"/>
    </row>
    <row r="605">
      <c r="A605" s="69" t="n"/>
      <c r="B605" s="72" t="n"/>
      <c r="C605" s="73" t="n"/>
      <c r="D605" s="69" t="n"/>
      <c r="E605" s="69" t="n"/>
      <c r="F605" s="69" t="n"/>
      <c r="G605" s="69" t="n"/>
    </row>
    <row r="606">
      <c r="A606" s="69" t="n"/>
      <c r="B606" s="72" t="n"/>
      <c r="C606" s="73" t="n"/>
      <c r="D606" s="69" t="n"/>
      <c r="E606" s="69" t="n"/>
      <c r="F606" s="69" t="n"/>
      <c r="G606" s="69" t="n"/>
    </row>
    <row r="607">
      <c r="A607" s="69" t="n"/>
      <c r="B607" s="72" t="n"/>
      <c r="C607" s="73" t="n"/>
      <c r="D607" s="69" t="n"/>
      <c r="E607" s="69" t="n"/>
      <c r="F607" s="69" t="n"/>
      <c r="G607" s="69" t="n"/>
    </row>
    <row r="608">
      <c r="A608" s="69" t="n"/>
      <c r="B608" s="72" t="n"/>
      <c r="C608" s="73" t="n"/>
      <c r="D608" s="69" t="n"/>
      <c r="E608" s="69" t="n"/>
      <c r="F608" s="69" t="n"/>
      <c r="G608" s="69" t="n"/>
    </row>
    <row r="609">
      <c r="A609" s="69" t="n"/>
      <c r="B609" s="72" t="n"/>
      <c r="C609" s="73" t="n"/>
      <c r="D609" s="69" t="n"/>
      <c r="E609" s="69" t="n"/>
      <c r="F609" s="69" t="n"/>
      <c r="G609" s="69" t="n"/>
    </row>
    <row r="610">
      <c r="A610" s="69" t="n"/>
      <c r="B610" s="72" t="n"/>
      <c r="C610" s="73" t="n"/>
      <c r="D610" s="69" t="n"/>
      <c r="E610" s="69" t="n"/>
      <c r="F610" s="69" t="n"/>
      <c r="G610" s="69" t="n"/>
    </row>
    <row r="611">
      <c r="A611" s="69" t="n"/>
      <c r="B611" s="72" t="n"/>
      <c r="C611" s="73" t="n"/>
      <c r="D611" s="69" t="n"/>
      <c r="E611" s="69" t="n"/>
      <c r="F611" s="69" t="n"/>
      <c r="G611" s="69" t="n"/>
    </row>
    <row r="612">
      <c r="A612" s="69" t="n"/>
      <c r="B612" s="72" t="n"/>
      <c r="C612" s="73" t="n"/>
      <c r="D612" s="69" t="n"/>
      <c r="E612" s="69" t="n"/>
      <c r="F612" s="69" t="n"/>
      <c r="G612" s="69" t="n"/>
    </row>
    <row r="613">
      <c r="A613" s="69" t="n"/>
      <c r="B613" s="72" t="n"/>
      <c r="C613" s="73" t="n"/>
      <c r="D613" s="69" t="n"/>
      <c r="E613" s="69" t="n"/>
      <c r="F613" s="69" t="n"/>
      <c r="G613" s="69" t="n"/>
    </row>
    <row r="614">
      <c r="A614" s="69" t="n"/>
      <c r="B614" s="72" t="n"/>
      <c r="C614" s="73" t="n"/>
      <c r="D614" s="69" t="n"/>
      <c r="E614" s="69" t="n"/>
      <c r="F614" s="69" t="n"/>
      <c r="G614" s="69" t="n"/>
    </row>
    <row r="615">
      <c r="A615" s="69" t="n"/>
      <c r="B615" s="72" t="n"/>
      <c r="C615" s="73" t="n"/>
      <c r="D615" s="69" t="n"/>
      <c r="E615" s="69" t="n"/>
      <c r="F615" s="69" t="n"/>
      <c r="G615" s="69" t="n"/>
    </row>
    <row r="616">
      <c r="A616" s="69" t="n"/>
      <c r="B616" s="72" t="n"/>
      <c r="C616" s="73" t="n"/>
      <c r="D616" s="69" t="n"/>
      <c r="E616" s="69" t="n"/>
      <c r="F616" s="69" t="n"/>
      <c r="G616" s="69" t="n"/>
    </row>
    <row r="617">
      <c r="A617" s="69" t="n"/>
      <c r="B617" s="72" t="n"/>
      <c r="C617" s="73" t="n"/>
      <c r="D617" s="69" t="n"/>
      <c r="E617" s="69" t="n"/>
      <c r="F617" s="69" t="n"/>
      <c r="G617" s="69" t="n"/>
    </row>
    <row r="618">
      <c r="A618" s="69" t="n"/>
      <c r="B618" s="72" t="n"/>
      <c r="C618" s="73" t="n"/>
      <c r="D618" s="69" t="n"/>
      <c r="E618" s="69" t="n"/>
      <c r="F618" s="69" t="n"/>
      <c r="G618" s="69" t="n"/>
    </row>
    <row r="619">
      <c r="A619" s="69" t="n"/>
      <c r="B619" s="72" t="n"/>
      <c r="C619" s="73" t="n"/>
      <c r="D619" s="69" t="n"/>
      <c r="E619" s="69" t="n"/>
      <c r="F619" s="69" t="n"/>
      <c r="G619" s="69" t="n"/>
    </row>
    <row r="620">
      <c r="A620" s="69" t="n"/>
      <c r="B620" s="72" t="n"/>
      <c r="C620" s="73" t="n"/>
      <c r="D620" s="69" t="n"/>
      <c r="E620" s="69" t="n"/>
      <c r="F620" s="69" t="n"/>
      <c r="G620" s="69" t="n"/>
    </row>
    <row r="621">
      <c r="A621" s="69" t="n"/>
      <c r="B621" s="72" t="n"/>
      <c r="C621" s="73" t="n"/>
      <c r="D621" s="69" t="n"/>
      <c r="E621" s="69" t="n"/>
      <c r="F621" s="69" t="n"/>
      <c r="G621" s="69" t="n"/>
    </row>
    <row r="622">
      <c r="A622" s="69" t="n"/>
      <c r="B622" s="72" t="n"/>
      <c r="C622" s="73" t="n"/>
      <c r="D622" s="69" t="n"/>
      <c r="E622" s="69" t="n"/>
      <c r="F622" s="69" t="n"/>
      <c r="G622" s="69" t="n"/>
    </row>
    <row r="623">
      <c r="A623" s="69" t="n"/>
      <c r="B623" s="72" t="n"/>
      <c r="C623" s="73" t="n"/>
      <c r="D623" s="69" t="n"/>
      <c r="E623" s="69" t="n"/>
      <c r="F623" s="69" t="n"/>
      <c r="G623" s="69" t="n"/>
    </row>
    <row r="624">
      <c r="A624" s="69" t="n"/>
      <c r="B624" s="72" t="n"/>
      <c r="C624" s="73" t="n"/>
      <c r="D624" s="69" t="n"/>
      <c r="E624" s="69" t="n"/>
      <c r="F624" s="69" t="n"/>
      <c r="G624" s="69" t="n"/>
    </row>
    <row r="625">
      <c r="A625" s="69" t="n"/>
      <c r="B625" s="72" t="n"/>
      <c r="C625" s="73" t="n"/>
      <c r="D625" s="69" t="n"/>
      <c r="E625" s="69" t="n"/>
      <c r="F625" s="69" t="n"/>
      <c r="G625" s="69" t="n"/>
    </row>
    <row r="626">
      <c r="A626" s="69" t="n"/>
      <c r="B626" s="72" t="n"/>
      <c r="C626" s="73" t="n"/>
      <c r="D626" s="69" t="n"/>
      <c r="E626" s="69" t="n"/>
      <c r="F626" s="69" t="n"/>
      <c r="G626" s="69" t="n"/>
    </row>
    <row r="627">
      <c r="A627" s="69" t="n"/>
      <c r="B627" s="72" t="n"/>
      <c r="C627" s="73" t="n"/>
      <c r="D627" s="69" t="n"/>
      <c r="E627" s="69" t="n"/>
      <c r="F627" s="69" t="n"/>
      <c r="G627" s="69" t="n"/>
    </row>
    <row r="628">
      <c r="A628" s="69" t="n"/>
      <c r="B628" s="72" t="n"/>
      <c r="C628" s="73" t="n"/>
      <c r="D628" s="69" t="n"/>
      <c r="E628" s="69" t="n"/>
      <c r="F628" s="69" t="n"/>
      <c r="G628" s="69" t="n"/>
    </row>
    <row r="629">
      <c r="A629" s="69" t="n"/>
      <c r="B629" s="72" t="n"/>
      <c r="C629" s="73" t="n"/>
      <c r="D629" s="69" t="n"/>
      <c r="E629" s="69" t="n"/>
      <c r="F629" s="69" t="n"/>
      <c r="G629" s="69" t="n"/>
    </row>
    <row r="630">
      <c r="A630" s="69" t="n"/>
      <c r="B630" s="72" t="n"/>
      <c r="C630" s="73" t="n"/>
      <c r="D630" s="69" t="n"/>
      <c r="E630" s="69" t="n"/>
      <c r="F630" s="69" t="n"/>
      <c r="G630" s="69" t="n"/>
    </row>
    <row r="631">
      <c r="A631" s="69" t="n"/>
      <c r="B631" s="72" t="n"/>
      <c r="C631" s="73" t="n"/>
      <c r="D631" s="69" t="n"/>
      <c r="E631" s="69" t="n"/>
      <c r="F631" s="69" t="n"/>
      <c r="G631" s="69" t="n"/>
    </row>
    <row r="632">
      <c r="A632" s="69" t="n"/>
      <c r="B632" s="72" t="n"/>
      <c r="C632" s="73" t="n"/>
      <c r="D632" s="69" t="n"/>
      <c r="E632" s="69" t="n"/>
      <c r="F632" s="69" t="n"/>
      <c r="G632" s="69" t="n"/>
    </row>
    <row r="633">
      <c r="A633" s="69" t="n"/>
      <c r="B633" s="72" t="n"/>
      <c r="C633" s="73" t="n"/>
      <c r="D633" s="69" t="n"/>
      <c r="E633" s="69" t="n"/>
      <c r="F633" s="69" t="n"/>
      <c r="G633" s="69" t="n"/>
    </row>
    <row r="634">
      <c r="A634" s="69" t="n"/>
      <c r="B634" s="72" t="n"/>
      <c r="C634" s="73" t="n"/>
      <c r="D634" s="69" t="n"/>
      <c r="E634" s="69" t="n"/>
      <c r="F634" s="69" t="n"/>
      <c r="G634" s="69" t="n"/>
    </row>
    <row r="635">
      <c r="A635" s="69" t="n"/>
      <c r="B635" s="72" t="n"/>
      <c r="C635" s="73" t="n"/>
      <c r="D635" s="69" t="n"/>
      <c r="E635" s="69" t="n"/>
      <c r="F635" s="69" t="n"/>
      <c r="G635" s="69" t="n"/>
    </row>
    <row r="636">
      <c r="A636" s="69" t="n"/>
      <c r="B636" s="72" t="n"/>
      <c r="C636" s="73" t="n"/>
      <c r="D636" s="69" t="n"/>
      <c r="E636" s="69" t="n"/>
      <c r="F636" s="69" t="n"/>
      <c r="G636" s="69" t="n"/>
    </row>
    <row r="637">
      <c r="A637" s="69" t="n"/>
      <c r="B637" s="72" t="n"/>
      <c r="C637" s="73" t="n"/>
      <c r="D637" s="69" t="n"/>
      <c r="E637" s="69" t="n"/>
      <c r="F637" s="69" t="n"/>
      <c r="G637" s="69" t="n"/>
    </row>
    <row r="638">
      <c r="A638" s="69" t="n"/>
      <c r="B638" s="72" t="n"/>
      <c r="C638" s="73" t="n"/>
      <c r="D638" s="69" t="n"/>
      <c r="E638" s="69" t="n"/>
      <c r="F638" s="69" t="n"/>
      <c r="G638" s="69" t="n"/>
    </row>
    <row r="639">
      <c r="A639" s="69" t="n"/>
      <c r="B639" s="72" t="n"/>
      <c r="C639" s="73" t="n"/>
      <c r="D639" s="69" t="n"/>
      <c r="E639" s="69" t="n"/>
      <c r="F639" s="69" t="n"/>
      <c r="G639" s="69" t="n"/>
    </row>
    <row r="640">
      <c r="A640" s="69" t="n"/>
      <c r="B640" s="72" t="n"/>
      <c r="C640" s="73" t="n"/>
      <c r="D640" s="69" t="n"/>
      <c r="E640" s="69" t="n"/>
      <c r="F640" s="69" t="n"/>
      <c r="G640" s="69" t="n"/>
    </row>
    <row r="641">
      <c r="A641" s="69" t="n"/>
      <c r="B641" s="72" t="n"/>
      <c r="C641" s="73" t="n"/>
      <c r="D641" s="69" t="n"/>
      <c r="E641" s="69" t="n"/>
      <c r="F641" s="69" t="n"/>
      <c r="G641" s="69" t="n"/>
    </row>
    <row r="642">
      <c r="A642" s="69" t="n"/>
      <c r="B642" s="72" t="n"/>
      <c r="C642" s="73" t="n"/>
      <c r="D642" s="69" t="n"/>
      <c r="E642" s="69" t="n"/>
      <c r="F642" s="69" t="n"/>
      <c r="G642" s="69" t="n"/>
    </row>
    <row r="643">
      <c r="A643" s="69" t="n"/>
      <c r="B643" s="72" t="n"/>
      <c r="C643" s="73" t="n"/>
      <c r="D643" s="69" t="n"/>
      <c r="E643" s="69" t="n"/>
      <c r="F643" s="69" t="n"/>
      <c r="G643" s="69" t="n"/>
    </row>
    <row r="644">
      <c r="A644" s="69" t="n"/>
      <c r="B644" s="72" t="n"/>
      <c r="C644" s="73" t="n"/>
      <c r="D644" s="69" t="n"/>
      <c r="E644" s="69" t="n"/>
      <c r="F644" s="69" t="n"/>
      <c r="G644" s="69" t="n"/>
    </row>
    <row r="645">
      <c r="A645" s="69" t="n"/>
      <c r="B645" s="72" t="n"/>
      <c r="C645" s="73" t="n"/>
      <c r="D645" s="69" t="n"/>
      <c r="E645" s="69" t="n"/>
      <c r="F645" s="69" t="n"/>
      <c r="G645" s="69" t="n"/>
    </row>
    <row r="646">
      <c r="A646" s="69" t="n"/>
      <c r="B646" s="72" t="n"/>
      <c r="C646" s="73" t="n"/>
      <c r="D646" s="69" t="n"/>
      <c r="E646" s="69" t="n"/>
      <c r="F646" s="69" t="n"/>
      <c r="G646" s="69" t="n"/>
    </row>
    <row r="647">
      <c r="A647" s="69" t="n"/>
      <c r="B647" s="72" t="n"/>
      <c r="C647" s="73" t="n"/>
      <c r="D647" s="69" t="n"/>
      <c r="E647" s="69" t="n"/>
      <c r="F647" s="69" t="n"/>
      <c r="G647" s="69" t="n"/>
    </row>
    <row r="648">
      <c r="A648" s="69" t="n"/>
      <c r="B648" s="72" t="n"/>
      <c r="C648" s="73" t="n"/>
      <c r="D648" s="69" t="n"/>
      <c r="E648" s="69" t="n"/>
      <c r="F648" s="69" t="n"/>
      <c r="G648" s="69" t="n"/>
    </row>
    <row r="649">
      <c r="A649" s="69" t="n"/>
      <c r="B649" s="72" t="n"/>
      <c r="C649" s="73" t="n"/>
      <c r="D649" s="69" t="n"/>
      <c r="E649" s="69" t="n"/>
      <c r="F649" s="69" t="n"/>
      <c r="G649" s="69" t="n"/>
    </row>
    <row r="650">
      <c r="A650" s="69" t="n"/>
      <c r="B650" s="72" t="n"/>
      <c r="C650" s="73" t="n"/>
      <c r="D650" s="69" t="n"/>
      <c r="E650" s="69" t="n"/>
      <c r="F650" s="69" t="n"/>
      <c r="G650" s="69" t="n"/>
    </row>
    <row r="651">
      <c r="A651" s="69" t="n"/>
      <c r="B651" s="72" t="n"/>
      <c r="C651" s="73" t="n"/>
      <c r="D651" s="69" t="n"/>
      <c r="E651" s="69" t="n"/>
      <c r="F651" s="69" t="n"/>
      <c r="G651" s="69" t="n"/>
    </row>
    <row r="652">
      <c r="A652" s="69" t="n"/>
      <c r="B652" s="72" t="n"/>
      <c r="C652" s="73" t="n"/>
      <c r="D652" s="69" t="n"/>
      <c r="E652" s="69" t="n"/>
      <c r="F652" s="69" t="n"/>
      <c r="G652" s="69" t="n"/>
    </row>
    <row r="653">
      <c r="A653" s="69" t="n"/>
      <c r="B653" s="72" t="n"/>
      <c r="C653" s="73" t="n"/>
      <c r="D653" s="69" t="n"/>
      <c r="E653" s="69" t="n"/>
      <c r="F653" s="69" t="n"/>
      <c r="G653" s="69" t="n"/>
    </row>
    <row r="654">
      <c r="A654" s="69" t="n"/>
      <c r="B654" s="72" t="n"/>
      <c r="C654" s="73" t="n"/>
      <c r="D654" s="69" t="n"/>
      <c r="E654" s="69" t="n"/>
      <c r="F654" s="69" t="n"/>
      <c r="G654" s="69" t="n"/>
    </row>
    <row r="655">
      <c r="A655" s="69" t="n"/>
      <c r="B655" s="72" t="n"/>
      <c r="C655" s="73" t="n"/>
      <c r="D655" s="69" t="n"/>
      <c r="E655" s="69" t="n"/>
      <c r="F655" s="69" t="n"/>
      <c r="G655" s="69" t="n"/>
    </row>
    <row r="656">
      <c r="A656" s="69" t="n"/>
      <c r="B656" s="72" t="n"/>
      <c r="C656" s="73" t="n"/>
      <c r="D656" s="69" t="n"/>
      <c r="E656" s="69" t="n"/>
      <c r="F656" s="69" t="n"/>
      <c r="G656" s="69" t="n"/>
    </row>
    <row r="657">
      <c r="A657" s="69" t="n"/>
      <c r="B657" s="72" t="n"/>
      <c r="C657" s="73" t="n"/>
      <c r="D657" s="69" t="n"/>
      <c r="E657" s="69" t="n"/>
      <c r="F657" s="69" t="n"/>
      <c r="G657" s="69" t="n"/>
    </row>
    <row r="658">
      <c r="A658" s="69" t="n"/>
      <c r="B658" s="72" t="n"/>
      <c r="C658" s="73" t="n"/>
      <c r="D658" s="69" t="n"/>
      <c r="E658" s="69" t="n"/>
      <c r="F658" s="69" t="n"/>
      <c r="G658" s="69" t="n"/>
    </row>
    <row r="659">
      <c r="A659" s="69" t="n"/>
      <c r="B659" s="72" t="n"/>
      <c r="C659" s="73" t="n"/>
      <c r="D659" s="69" t="n"/>
      <c r="E659" s="69" t="n"/>
      <c r="F659" s="69" t="n"/>
      <c r="G659" s="69" t="n"/>
    </row>
    <row r="660">
      <c r="A660" s="69" t="n"/>
      <c r="B660" s="72" t="n"/>
      <c r="C660" s="73" t="n"/>
      <c r="D660" s="69" t="n"/>
      <c r="E660" s="69" t="n"/>
      <c r="F660" s="69" t="n"/>
      <c r="G660" s="69" t="n"/>
    </row>
    <row r="661">
      <c r="A661" s="69" t="n"/>
      <c r="B661" s="72" t="n"/>
      <c r="C661" s="73" t="n"/>
      <c r="D661" s="69" t="n"/>
      <c r="E661" s="69" t="n"/>
      <c r="F661" s="69" t="n"/>
      <c r="G661" s="69" t="n"/>
    </row>
    <row r="662">
      <c r="A662" s="69" t="n"/>
      <c r="B662" s="72" t="n"/>
      <c r="C662" s="73" t="n"/>
      <c r="D662" s="69" t="n"/>
      <c r="E662" s="69" t="n"/>
      <c r="F662" s="69" t="n"/>
      <c r="G662" s="69" t="n"/>
    </row>
    <row r="663">
      <c r="A663" s="69" t="n"/>
      <c r="B663" s="72" t="n"/>
      <c r="C663" s="73" t="n"/>
      <c r="D663" s="69" t="n"/>
      <c r="E663" s="69" t="n"/>
      <c r="F663" s="69" t="n"/>
      <c r="G663" s="69" t="n"/>
    </row>
    <row r="664">
      <c r="A664" s="69" t="n"/>
      <c r="B664" s="72" t="n"/>
      <c r="C664" s="73" t="n"/>
      <c r="D664" s="69" t="n"/>
      <c r="E664" s="69" t="n"/>
      <c r="F664" s="69" t="n"/>
      <c r="G664" s="69" t="n"/>
    </row>
    <row r="665">
      <c r="A665" s="69" t="n"/>
      <c r="B665" s="72" t="n"/>
      <c r="C665" s="73" t="n"/>
      <c r="D665" s="69" t="n"/>
      <c r="E665" s="69" t="n"/>
      <c r="F665" s="69" t="n"/>
      <c r="G665" s="69" t="n"/>
    </row>
    <row r="666">
      <c r="A666" s="69" t="n"/>
      <c r="B666" s="72" t="n"/>
      <c r="C666" s="73" t="n"/>
      <c r="D666" s="69" t="n"/>
      <c r="E666" s="69" t="n"/>
      <c r="F666" s="69" t="n"/>
      <c r="G666" s="69" t="n"/>
    </row>
    <row r="667">
      <c r="A667" s="69" t="n"/>
      <c r="B667" s="72" t="n"/>
      <c r="C667" s="73" t="n"/>
      <c r="D667" s="69" t="n"/>
      <c r="E667" s="69" t="n"/>
      <c r="F667" s="69" t="n"/>
      <c r="G667" s="69" t="n"/>
    </row>
    <row r="668">
      <c r="A668" s="69" t="n"/>
      <c r="B668" s="72" t="n"/>
      <c r="C668" s="73" t="n"/>
      <c r="D668" s="69" t="n"/>
      <c r="E668" s="69" t="n"/>
      <c r="F668" s="69" t="n"/>
      <c r="G668" s="69" t="n"/>
    </row>
    <row r="669">
      <c r="A669" s="69" t="n"/>
      <c r="B669" s="72" t="n"/>
      <c r="C669" s="73" t="n"/>
      <c r="D669" s="69" t="n"/>
      <c r="E669" s="69" t="n"/>
      <c r="F669" s="69" t="n"/>
      <c r="G669" s="69" t="n"/>
    </row>
    <row r="670">
      <c r="A670" s="69" t="n"/>
      <c r="B670" s="72" t="n"/>
      <c r="C670" s="73" t="n"/>
      <c r="D670" s="69" t="n"/>
      <c r="E670" s="69" t="n"/>
      <c r="F670" s="69" t="n"/>
      <c r="G670" s="69" t="n"/>
    </row>
    <row r="671">
      <c r="A671" s="69" t="n"/>
      <c r="B671" s="72" t="n"/>
      <c r="C671" s="73" t="n"/>
      <c r="D671" s="69" t="n"/>
      <c r="E671" s="69" t="n"/>
      <c r="F671" s="69" t="n"/>
      <c r="G671" s="69" t="n"/>
    </row>
    <row r="672">
      <c r="A672" s="69" t="n"/>
      <c r="B672" s="72" t="n"/>
      <c r="C672" s="73" t="n"/>
      <c r="D672" s="69" t="n"/>
      <c r="E672" s="69" t="n"/>
      <c r="F672" s="69" t="n"/>
      <c r="G672" s="69" t="n"/>
    </row>
    <row r="673">
      <c r="A673" s="69" t="n"/>
      <c r="B673" s="72" t="n"/>
      <c r="C673" s="73" t="n"/>
      <c r="D673" s="69" t="n"/>
      <c r="E673" s="69" t="n"/>
      <c r="F673" s="69" t="n"/>
      <c r="G673" s="69" t="n"/>
    </row>
    <row r="674">
      <c r="A674" s="69" t="n"/>
      <c r="B674" s="72" t="n"/>
      <c r="C674" s="73" t="n"/>
      <c r="D674" s="69" t="n"/>
      <c r="E674" s="69" t="n"/>
      <c r="F674" s="69" t="n"/>
      <c r="G674" s="69" t="n"/>
    </row>
    <row r="675">
      <c r="A675" s="69" t="n"/>
      <c r="B675" s="72" t="n"/>
      <c r="C675" s="73" t="n"/>
      <c r="D675" s="69" t="n"/>
      <c r="E675" s="69" t="n"/>
      <c r="F675" s="69" t="n"/>
      <c r="G675" s="69" t="n"/>
    </row>
    <row r="676">
      <c r="A676" s="69" t="n"/>
      <c r="B676" s="72" t="n"/>
      <c r="C676" s="73" t="n"/>
      <c r="D676" s="69" t="n"/>
      <c r="E676" s="69" t="n"/>
      <c r="F676" s="69" t="n"/>
      <c r="G676" s="69" t="n"/>
    </row>
    <row r="677">
      <c r="A677" s="69" t="n"/>
      <c r="B677" s="72" t="n"/>
      <c r="C677" s="73" t="n"/>
      <c r="D677" s="69" t="n"/>
      <c r="E677" s="69" t="n"/>
      <c r="F677" s="69" t="n"/>
      <c r="G677" s="69" t="n"/>
    </row>
    <row r="678">
      <c r="A678" s="69" t="n"/>
      <c r="B678" s="72" t="n"/>
      <c r="C678" s="73" t="n"/>
      <c r="D678" s="69" t="n"/>
      <c r="E678" s="69" t="n"/>
      <c r="F678" s="69" t="n"/>
      <c r="G678" s="69" t="n"/>
    </row>
    <row r="679">
      <c r="A679" s="69" t="n"/>
      <c r="B679" s="72" t="n"/>
      <c r="C679" s="73" t="n"/>
      <c r="D679" s="69" t="n"/>
      <c r="E679" s="69" t="n"/>
      <c r="F679" s="69" t="n"/>
      <c r="G679" s="69" t="n"/>
    </row>
    <row r="680">
      <c r="A680" s="69" t="n"/>
      <c r="B680" s="72" t="n"/>
      <c r="C680" s="73" t="n"/>
      <c r="D680" s="69" t="n"/>
      <c r="E680" s="69" t="n"/>
      <c r="F680" s="69" t="n"/>
      <c r="G680" s="69" t="n"/>
    </row>
    <row r="681">
      <c r="A681" s="69" t="n"/>
      <c r="B681" s="72" t="n"/>
      <c r="C681" s="73" t="n"/>
      <c r="D681" s="69" t="n"/>
      <c r="E681" s="69" t="n"/>
      <c r="F681" s="69" t="n"/>
      <c r="G681" s="69" t="n"/>
    </row>
    <row r="682">
      <c r="A682" s="69" t="n"/>
      <c r="B682" s="72" t="n"/>
      <c r="C682" s="73" t="n"/>
      <c r="D682" s="69" t="n"/>
      <c r="E682" s="69" t="n"/>
      <c r="F682" s="69" t="n"/>
      <c r="G682" s="69" t="n"/>
    </row>
    <row r="683">
      <c r="A683" s="69" t="n"/>
      <c r="B683" s="72" t="n"/>
      <c r="C683" s="73" t="n"/>
      <c r="D683" s="69" t="n"/>
      <c r="E683" s="69" t="n"/>
      <c r="F683" s="69" t="n"/>
      <c r="G683" s="69" t="n"/>
    </row>
    <row r="684">
      <c r="A684" s="69" t="n"/>
      <c r="B684" s="72" t="n"/>
      <c r="C684" s="73" t="n"/>
      <c r="D684" s="69" t="n"/>
      <c r="E684" s="69" t="n"/>
      <c r="F684" s="69" t="n"/>
      <c r="G684" s="69" t="n"/>
    </row>
    <row r="685">
      <c r="A685" s="69" t="n"/>
      <c r="B685" s="72" t="n"/>
      <c r="C685" s="73" t="n"/>
      <c r="D685" s="69" t="n"/>
      <c r="E685" s="69" t="n"/>
      <c r="F685" s="69" t="n"/>
      <c r="G685" s="69" t="n"/>
    </row>
    <row r="686">
      <c r="A686" s="69" t="n"/>
      <c r="B686" s="72" t="n"/>
      <c r="C686" s="73" t="n"/>
      <c r="D686" s="69" t="n"/>
      <c r="E686" s="69" t="n"/>
      <c r="F686" s="69" t="n"/>
      <c r="G686" s="69" t="n"/>
    </row>
    <row r="687">
      <c r="A687" s="69" t="n"/>
      <c r="B687" s="72" t="n"/>
      <c r="C687" s="73" t="n"/>
      <c r="D687" s="69" t="n"/>
      <c r="E687" s="69" t="n"/>
      <c r="F687" s="69" t="n"/>
      <c r="G687" s="69" t="n"/>
    </row>
    <row r="688">
      <c r="A688" s="69" t="n"/>
      <c r="B688" s="72" t="n"/>
      <c r="C688" s="73" t="n"/>
      <c r="D688" s="69" t="n"/>
      <c r="E688" s="69" t="n"/>
      <c r="F688" s="69" t="n"/>
      <c r="G688" s="69" t="n"/>
    </row>
    <row r="689">
      <c r="A689" s="69" t="n"/>
      <c r="B689" s="72" t="n"/>
      <c r="C689" s="73" t="n"/>
      <c r="D689" s="69" t="n"/>
      <c r="E689" s="69" t="n"/>
      <c r="F689" s="69" t="n"/>
      <c r="G689" s="69" t="n"/>
    </row>
    <row r="690">
      <c r="A690" s="69" t="n"/>
      <c r="B690" s="72" t="n"/>
      <c r="C690" s="73" t="n"/>
      <c r="D690" s="69" t="n"/>
      <c r="E690" s="69" t="n"/>
      <c r="F690" s="69" t="n"/>
      <c r="G690" s="69" t="n"/>
    </row>
    <row r="691">
      <c r="A691" s="69" t="n"/>
      <c r="B691" s="72" t="n"/>
      <c r="C691" s="73" t="n"/>
      <c r="D691" s="69" t="n"/>
      <c r="E691" s="69" t="n"/>
      <c r="F691" s="69" t="n"/>
      <c r="G691" s="69" t="n"/>
    </row>
    <row r="692">
      <c r="A692" s="69" t="n"/>
      <c r="B692" s="72" t="n"/>
      <c r="C692" s="73" t="n"/>
      <c r="D692" s="69" t="n"/>
      <c r="E692" s="69" t="n"/>
      <c r="F692" s="69" t="n"/>
      <c r="G692" s="69" t="n"/>
    </row>
    <row r="693">
      <c r="A693" s="69" t="n"/>
      <c r="B693" s="72" t="n"/>
      <c r="C693" s="73" t="n"/>
      <c r="D693" s="69" t="n"/>
      <c r="E693" s="69" t="n"/>
      <c r="F693" s="69" t="n"/>
      <c r="G693" s="69" t="n"/>
    </row>
    <row r="694">
      <c r="A694" s="69" t="n"/>
      <c r="B694" s="72" t="n"/>
      <c r="C694" s="73" t="n"/>
      <c r="D694" s="69" t="n"/>
      <c r="E694" s="69" t="n"/>
      <c r="F694" s="69" t="n"/>
      <c r="G694" s="69" t="n"/>
    </row>
    <row r="695">
      <c r="A695" s="69" t="n"/>
      <c r="B695" s="72" t="n"/>
      <c r="C695" s="73" t="n"/>
      <c r="D695" s="69" t="n"/>
      <c r="E695" s="69" t="n"/>
      <c r="F695" s="69" t="n"/>
      <c r="G695" s="69" t="n"/>
    </row>
    <row r="696">
      <c r="A696" s="69" t="n"/>
      <c r="B696" s="72" t="n"/>
      <c r="C696" s="73" t="n"/>
      <c r="D696" s="69" t="n"/>
      <c r="E696" s="69" t="n"/>
      <c r="F696" s="69" t="n"/>
      <c r="G696" s="69" t="n"/>
    </row>
    <row r="697">
      <c r="A697" s="69" t="n"/>
      <c r="B697" s="72" t="n"/>
      <c r="C697" s="73" t="n"/>
      <c r="D697" s="69" t="n"/>
      <c r="E697" s="69" t="n"/>
      <c r="F697" s="69" t="n"/>
      <c r="G697" s="69" t="n"/>
    </row>
    <row r="698">
      <c r="A698" s="69" t="n"/>
      <c r="B698" s="72" t="n"/>
      <c r="C698" s="73" t="n"/>
      <c r="D698" s="69" t="n"/>
      <c r="E698" s="69" t="n"/>
      <c r="F698" s="69" t="n"/>
      <c r="G698" s="69" t="n"/>
    </row>
    <row r="699">
      <c r="A699" s="69" t="n"/>
      <c r="B699" s="72" t="n"/>
      <c r="C699" s="73" t="n"/>
      <c r="D699" s="69" t="n"/>
      <c r="E699" s="69" t="n"/>
      <c r="F699" s="69" t="n"/>
      <c r="G699" s="69" t="n"/>
    </row>
    <row r="700">
      <c r="A700" s="69" t="n"/>
      <c r="B700" s="72" t="n"/>
      <c r="C700" s="73" t="n"/>
      <c r="D700" s="69" t="n"/>
      <c r="E700" s="69" t="n"/>
      <c r="F700" s="69" t="n"/>
      <c r="G700" s="69" t="n"/>
    </row>
    <row r="701">
      <c r="A701" s="69" t="n"/>
      <c r="B701" s="72" t="n"/>
      <c r="C701" s="73" t="n"/>
      <c r="D701" s="69" t="n"/>
      <c r="E701" s="69" t="n"/>
      <c r="F701" s="69" t="n"/>
      <c r="G701" s="69" t="n"/>
    </row>
    <row r="702">
      <c r="A702" s="69" t="n"/>
      <c r="B702" s="72" t="n"/>
      <c r="C702" s="73" t="n"/>
      <c r="D702" s="69" t="n"/>
      <c r="E702" s="69" t="n"/>
      <c r="F702" s="69" t="n"/>
      <c r="G702" s="69" t="n"/>
    </row>
    <row r="703">
      <c r="A703" s="69" t="n"/>
      <c r="B703" s="72" t="n"/>
      <c r="C703" s="73" t="n"/>
      <c r="D703" s="69" t="n"/>
      <c r="E703" s="69" t="n"/>
      <c r="F703" s="69" t="n"/>
      <c r="G703" s="69" t="n"/>
    </row>
    <row r="704">
      <c r="A704" s="69" t="n"/>
      <c r="B704" s="72" t="n"/>
      <c r="C704" s="73" t="n"/>
      <c r="D704" s="69" t="n"/>
      <c r="E704" s="69" t="n"/>
      <c r="F704" s="69" t="n"/>
      <c r="G704" s="69" t="n"/>
    </row>
    <row r="705">
      <c r="A705" s="69" t="n"/>
      <c r="B705" s="72" t="n"/>
      <c r="C705" s="73" t="n"/>
      <c r="D705" s="69" t="n"/>
      <c r="E705" s="69" t="n"/>
      <c r="F705" s="69" t="n"/>
      <c r="G705" s="69" t="n"/>
    </row>
    <row r="706">
      <c r="A706" s="69" t="n"/>
      <c r="B706" s="72" t="n"/>
      <c r="C706" s="73" t="n"/>
      <c r="D706" s="69" t="n"/>
      <c r="E706" s="69" t="n"/>
      <c r="F706" s="69" t="n"/>
      <c r="G706" s="69" t="n"/>
    </row>
    <row r="707">
      <c r="A707" s="69" t="n"/>
      <c r="B707" s="72" t="n"/>
      <c r="C707" s="73" t="n"/>
      <c r="D707" s="69" t="n"/>
      <c r="E707" s="69" t="n"/>
      <c r="F707" s="69" t="n"/>
      <c r="G707" s="69" t="n"/>
    </row>
    <row r="708">
      <c r="A708" s="69" t="n"/>
      <c r="B708" s="72" t="n"/>
      <c r="C708" s="73" t="n"/>
      <c r="D708" s="69" t="n"/>
      <c r="E708" s="69" t="n"/>
      <c r="F708" s="69" t="n"/>
      <c r="G708" s="69" t="n"/>
    </row>
    <row r="709">
      <c r="A709" s="69" t="n"/>
      <c r="B709" s="72" t="n"/>
      <c r="C709" s="73" t="n"/>
      <c r="D709" s="69" t="n"/>
      <c r="E709" s="69" t="n"/>
      <c r="F709" s="69" t="n"/>
      <c r="G709" s="69" t="n"/>
    </row>
    <row r="710">
      <c r="A710" s="69" t="n"/>
      <c r="B710" s="72" t="n"/>
      <c r="C710" s="73" t="n"/>
      <c r="D710" s="69" t="n"/>
      <c r="E710" s="69" t="n"/>
      <c r="F710" s="69" t="n"/>
      <c r="G710" s="69" t="n"/>
    </row>
    <row r="711">
      <c r="A711" s="69" t="n"/>
      <c r="B711" s="72" t="n"/>
      <c r="C711" s="73" t="n"/>
      <c r="D711" s="69" t="n"/>
      <c r="E711" s="69" t="n"/>
      <c r="F711" s="69" t="n"/>
      <c r="G711" s="69" t="n"/>
    </row>
    <row r="712">
      <c r="A712" s="69" t="n"/>
      <c r="B712" s="72" t="n"/>
      <c r="C712" s="73" t="n"/>
      <c r="D712" s="69" t="n"/>
      <c r="E712" s="69" t="n"/>
      <c r="F712" s="69" t="n"/>
      <c r="G712" s="69" t="n"/>
    </row>
    <row r="713">
      <c r="A713" s="69" t="n"/>
      <c r="B713" s="72" t="n"/>
      <c r="C713" s="73" t="n"/>
      <c r="D713" s="69" t="n"/>
      <c r="E713" s="69" t="n"/>
      <c r="F713" s="69" t="n"/>
      <c r="G713" s="69" t="n"/>
    </row>
    <row r="714">
      <c r="A714" s="69" t="n"/>
      <c r="B714" s="72" t="n"/>
      <c r="C714" s="73" t="n"/>
      <c r="D714" s="69" t="n"/>
      <c r="E714" s="69" t="n"/>
      <c r="F714" s="69" t="n"/>
      <c r="G714" s="69" t="n"/>
    </row>
    <row r="715">
      <c r="A715" s="69" t="n"/>
      <c r="B715" s="72" t="n"/>
      <c r="C715" s="73" t="n"/>
      <c r="D715" s="69" t="n"/>
      <c r="E715" s="69" t="n"/>
      <c r="F715" s="69" t="n"/>
      <c r="G715" s="69" t="n"/>
    </row>
    <row r="716">
      <c r="A716" s="69" t="n"/>
      <c r="B716" s="72" t="n"/>
      <c r="C716" s="73" t="n"/>
      <c r="D716" s="69" t="n"/>
      <c r="E716" s="69" t="n"/>
      <c r="F716" s="69" t="n"/>
      <c r="G716" s="69" t="n"/>
    </row>
    <row r="717">
      <c r="A717" s="69" t="n"/>
      <c r="B717" s="72" t="n"/>
      <c r="C717" s="73" t="n"/>
      <c r="D717" s="69" t="n"/>
      <c r="E717" s="69" t="n"/>
      <c r="F717" s="69" t="n"/>
      <c r="G717" s="69" t="n"/>
    </row>
    <row r="718">
      <c r="A718" s="69" t="n"/>
      <c r="B718" s="72" t="n"/>
      <c r="C718" s="73" t="n"/>
      <c r="D718" s="69" t="n"/>
      <c r="E718" s="69" t="n"/>
      <c r="F718" s="69" t="n"/>
      <c r="G718" s="69" t="n"/>
    </row>
    <row r="719">
      <c r="A719" s="69" t="n"/>
      <c r="B719" s="72" t="n"/>
      <c r="C719" s="73" t="n"/>
      <c r="D719" s="69" t="n"/>
      <c r="E719" s="69" t="n"/>
      <c r="F719" s="69" t="n"/>
      <c r="G719" s="69" t="n"/>
    </row>
    <row r="720">
      <c r="A720" s="69" t="n"/>
      <c r="B720" s="72" t="n"/>
      <c r="C720" s="73" t="n"/>
      <c r="D720" s="69" t="n"/>
      <c r="E720" s="69" t="n"/>
      <c r="F720" s="69" t="n"/>
      <c r="G720" s="69" t="n"/>
    </row>
    <row r="721">
      <c r="A721" s="69" t="n"/>
      <c r="B721" s="72" t="n"/>
      <c r="C721" s="73" t="n"/>
      <c r="D721" s="69" t="n"/>
      <c r="E721" s="69" t="n"/>
      <c r="F721" s="69" t="n"/>
      <c r="G721" s="69" t="n"/>
    </row>
    <row r="722">
      <c r="A722" s="69" t="n"/>
      <c r="B722" s="72" t="n"/>
      <c r="C722" s="73" t="n"/>
      <c r="D722" s="69" t="n"/>
      <c r="E722" s="69" t="n"/>
      <c r="F722" s="69" t="n"/>
      <c r="G722" s="69" t="n"/>
    </row>
    <row r="723">
      <c r="A723" s="69" t="n"/>
      <c r="B723" s="72" t="n"/>
      <c r="C723" s="73" t="n"/>
      <c r="D723" s="69" t="n"/>
      <c r="E723" s="69" t="n"/>
      <c r="F723" s="69" t="n"/>
      <c r="G723" s="69" t="n"/>
    </row>
    <row r="724">
      <c r="A724" s="69" t="n"/>
      <c r="B724" s="72" t="n"/>
      <c r="C724" s="73" t="n"/>
      <c r="D724" s="69" t="n"/>
      <c r="E724" s="69" t="n"/>
      <c r="F724" s="69" t="n"/>
      <c r="G724" s="69" t="n"/>
    </row>
    <row r="725">
      <c r="A725" s="69" t="n"/>
      <c r="B725" s="72" t="n"/>
      <c r="C725" s="73" t="n"/>
      <c r="D725" s="69" t="n"/>
      <c r="E725" s="69" t="n"/>
      <c r="F725" s="69" t="n"/>
      <c r="G725" s="69" t="n"/>
    </row>
    <row r="726">
      <c r="A726" s="69" t="n"/>
      <c r="B726" s="72" t="n"/>
      <c r="C726" s="73" t="n"/>
      <c r="D726" s="69" t="n"/>
      <c r="E726" s="69" t="n"/>
      <c r="F726" s="69" t="n"/>
      <c r="G726" s="69" t="n"/>
    </row>
    <row r="727">
      <c r="A727" s="69" t="n"/>
      <c r="B727" s="72" t="n"/>
      <c r="C727" s="73" t="n"/>
      <c r="D727" s="69" t="n"/>
      <c r="E727" s="69" t="n"/>
      <c r="F727" s="69" t="n"/>
      <c r="G727" s="69" t="n"/>
    </row>
    <row r="728">
      <c r="A728" s="69" t="n"/>
      <c r="B728" s="72" t="n"/>
      <c r="C728" s="73" t="n"/>
      <c r="D728" s="69" t="n"/>
      <c r="E728" s="69" t="n"/>
      <c r="F728" s="69" t="n"/>
      <c r="G728" s="69" t="n"/>
    </row>
    <row r="729">
      <c r="A729" s="69" t="n"/>
      <c r="B729" s="72" t="n"/>
      <c r="C729" s="73" t="n"/>
      <c r="D729" s="69" t="n"/>
      <c r="E729" s="69" t="n"/>
      <c r="F729" s="69" t="n"/>
      <c r="G729" s="69" t="n"/>
    </row>
    <row r="730">
      <c r="A730" s="69" t="n"/>
      <c r="B730" s="72" t="n"/>
      <c r="C730" s="73" t="n"/>
      <c r="D730" s="69" t="n"/>
      <c r="E730" s="69" t="n"/>
      <c r="F730" s="69" t="n"/>
      <c r="G730" s="69" t="n"/>
    </row>
    <row r="731">
      <c r="A731" s="69" t="n"/>
      <c r="B731" s="72" t="n"/>
      <c r="C731" s="73" t="n"/>
      <c r="D731" s="69" t="n"/>
      <c r="E731" s="69" t="n"/>
      <c r="F731" s="69" t="n"/>
      <c r="G731" s="69" t="n"/>
    </row>
    <row r="732">
      <c r="A732" s="69" t="n"/>
      <c r="B732" s="72" t="n"/>
      <c r="C732" s="73" t="n"/>
      <c r="D732" s="69" t="n"/>
      <c r="E732" s="69" t="n"/>
      <c r="F732" s="69" t="n"/>
      <c r="G732" s="69" t="n"/>
    </row>
    <row r="733">
      <c r="A733" s="69" t="n"/>
      <c r="B733" s="72" t="n"/>
      <c r="C733" s="73" t="n"/>
      <c r="D733" s="69" t="n"/>
      <c r="E733" s="69" t="n"/>
      <c r="F733" s="69" t="n"/>
      <c r="G733" s="69" t="n"/>
    </row>
    <row r="734">
      <c r="A734" s="69" t="n"/>
      <c r="B734" s="72" t="n"/>
      <c r="C734" s="73" t="n"/>
      <c r="D734" s="69" t="n"/>
      <c r="E734" s="69" t="n"/>
      <c r="F734" s="69" t="n"/>
      <c r="G734" s="69" t="n"/>
    </row>
    <row r="735">
      <c r="A735" s="69" t="n"/>
      <c r="B735" s="72" t="n"/>
      <c r="C735" s="73" t="n"/>
      <c r="D735" s="69" t="n"/>
      <c r="E735" s="69" t="n"/>
      <c r="F735" s="69" t="n"/>
      <c r="G735" s="69" t="n"/>
    </row>
    <row r="736">
      <c r="A736" s="69" t="n"/>
      <c r="B736" s="72" t="n"/>
      <c r="C736" s="73" t="n"/>
      <c r="D736" s="69" t="n"/>
      <c r="E736" s="69" t="n"/>
      <c r="F736" s="69" t="n"/>
      <c r="G736" s="69" t="n"/>
    </row>
    <row r="737">
      <c r="A737" s="69" t="n"/>
      <c r="B737" s="72" t="n"/>
      <c r="C737" s="73" t="n"/>
      <c r="D737" s="69" t="n"/>
      <c r="E737" s="69" t="n"/>
      <c r="F737" s="69" t="n"/>
      <c r="G737" s="69" t="n"/>
    </row>
    <row r="738">
      <c r="A738" s="69" t="n"/>
      <c r="B738" s="72" t="n"/>
      <c r="C738" s="73" t="n"/>
      <c r="D738" s="69" t="n"/>
      <c r="E738" s="69" t="n"/>
      <c r="F738" s="69" t="n"/>
      <c r="G738" s="69" t="n"/>
    </row>
    <row r="739">
      <c r="A739" s="69" t="n"/>
      <c r="B739" s="72" t="n"/>
      <c r="C739" s="73" t="n"/>
      <c r="D739" s="69" t="n"/>
      <c r="E739" s="69" t="n"/>
      <c r="F739" s="69" t="n"/>
      <c r="G739" s="69" t="n"/>
    </row>
    <row r="740">
      <c r="A740" s="69" t="n"/>
      <c r="B740" s="72" t="n"/>
      <c r="C740" s="73" t="n"/>
      <c r="D740" s="69" t="n"/>
      <c r="E740" s="69" t="n"/>
      <c r="F740" s="69" t="n"/>
      <c r="G740" s="69" t="n"/>
    </row>
    <row r="741">
      <c r="A741" s="69" t="n"/>
      <c r="B741" s="72" t="n"/>
      <c r="C741" s="73" t="n"/>
      <c r="D741" s="69" t="n"/>
      <c r="E741" s="69" t="n"/>
      <c r="F741" s="69" t="n"/>
      <c r="G741" s="69" t="n"/>
    </row>
    <row r="742">
      <c r="A742" s="69" t="n"/>
      <c r="B742" s="72" t="n"/>
      <c r="C742" s="73" t="n"/>
      <c r="D742" s="69" t="n"/>
      <c r="E742" s="69" t="n"/>
      <c r="F742" s="69" t="n"/>
      <c r="G742" s="69" t="n"/>
    </row>
    <row r="743">
      <c r="A743" s="69" t="n"/>
      <c r="B743" s="72" t="n"/>
      <c r="C743" s="73" t="n"/>
      <c r="D743" s="69" t="n"/>
      <c r="E743" s="69" t="n"/>
      <c r="F743" s="69" t="n"/>
      <c r="G743" s="69" t="n"/>
    </row>
    <row r="744">
      <c r="A744" s="69" t="n"/>
      <c r="B744" s="72" t="n"/>
      <c r="C744" s="73" t="n"/>
      <c r="D744" s="69" t="n"/>
      <c r="E744" s="69" t="n"/>
      <c r="F744" s="69" t="n"/>
      <c r="G744" s="69" t="n"/>
    </row>
    <row r="745">
      <c r="A745" s="69" t="n"/>
      <c r="B745" s="72" t="n"/>
      <c r="C745" s="73" t="n"/>
      <c r="D745" s="69" t="n"/>
      <c r="E745" s="69" t="n"/>
      <c r="F745" s="69" t="n"/>
      <c r="G745" s="69" t="n"/>
    </row>
    <row r="746">
      <c r="A746" s="69" t="n"/>
      <c r="B746" s="72" t="n"/>
      <c r="C746" s="73" t="n"/>
      <c r="D746" s="69" t="n"/>
      <c r="E746" s="69" t="n"/>
      <c r="F746" s="69" t="n"/>
      <c r="G746" s="69" t="n"/>
    </row>
    <row r="747">
      <c r="A747" s="69" t="n"/>
      <c r="B747" s="72" t="n"/>
      <c r="C747" s="73" t="n"/>
      <c r="D747" s="69" t="n"/>
      <c r="E747" s="69" t="n"/>
      <c r="F747" s="69" t="n"/>
      <c r="G747" s="69" t="n"/>
    </row>
    <row r="748">
      <c r="A748" s="69" t="n"/>
      <c r="B748" s="72" t="n"/>
      <c r="C748" s="73" t="n"/>
      <c r="D748" s="69" t="n"/>
      <c r="E748" s="69" t="n"/>
      <c r="F748" s="69" t="n"/>
      <c r="G748" s="69" t="n"/>
    </row>
    <row r="749">
      <c r="A749" s="69" t="n"/>
      <c r="B749" s="72" t="n"/>
      <c r="C749" s="73" t="n"/>
      <c r="D749" s="69" t="n"/>
      <c r="E749" s="69" t="n"/>
      <c r="F749" s="69" t="n"/>
      <c r="G749" s="69" t="n"/>
    </row>
    <row r="750">
      <c r="A750" s="69" t="n"/>
      <c r="B750" s="72" t="n"/>
      <c r="C750" s="73" t="n"/>
      <c r="D750" s="69" t="n"/>
      <c r="E750" s="69" t="n"/>
      <c r="F750" s="69" t="n"/>
      <c r="G750" s="69" t="n"/>
    </row>
    <row r="751">
      <c r="A751" s="69" t="n"/>
      <c r="B751" s="72" t="n"/>
      <c r="C751" s="73" t="n"/>
      <c r="D751" s="69" t="n"/>
      <c r="E751" s="69" t="n"/>
      <c r="F751" s="69" t="n"/>
      <c r="G751" s="69" t="n"/>
    </row>
    <row r="752">
      <c r="A752" s="69" t="n"/>
      <c r="B752" s="72" t="n"/>
      <c r="C752" s="73" t="n"/>
      <c r="D752" s="69" t="n"/>
      <c r="E752" s="69" t="n"/>
      <c r="F752" s="69" t="n"/>
      <c r="G752" s="69" t="n"/>
    </row>
    <row r="753">
      <c r="A753" s="69" t="n"/>
      <c r="B753" s="72" t="n"/>
      <c r="C753" s="73" t="n"/>
      <c r="D753" s="69" t="n"/>
      <c r="E753" s="69" t="n"/>
      <c r="F753" s="69" t="n"/>
      <c r="G753" s="69" t="n"/>
    </row>
    <row r="754">
      <c r="A754" s="69" t="n"/>
      <c r="B754" s="72" t="n"/>
      <c r="C754" s="73" t="n"/>
      <c r="D754" s="69" t="n"/>
      <c r="E754" s="69" t="n"/>
      <c r="F754" s="69" t="n"/>
      <c r="G754" s="69" t="n"/>
    </row>
    <row r="755">
      <c r="A755" s="69" t="n"/>
      <c r="B755" s="72" t="n"/>
      <c r="C755" s="73" t="n"/>
      <c r="D755" s="69" t="n"/>
      <c r="E755" s="69" t="n"/>
      <c r="F755" s="69" t="n"/>
      <c r="G755" s="69" t="n"/>
    </row>
    <row r="756">
      <c r="A756" s="69" t="n"/>
      <c r="B756" s="72" t="n"/>
      <c r="C756" s="73" t="n"/>
      <c r="D756" s="69" t="n"/>
      <c r="E756" s="69" t="n"/>
      <c r="F756" s="69" t="n"/>
      <c r="G756" s="69" t="n"/>
    </row>
    <row r="757">
      <c r="A757" s="69" t="n"/>
      <c r="B757" s="72" t="n"/>
      <c r="C757" s="73" t="n"/>
      <c r="D757" s="69" t="n"/>
      <c r="E757" s="69" t="n"/>
      <c r="F757" s="69" t="n"/>
      <c r="G757" s="69" t="n"/>
    </row>
    <row r="758">
      <c r="A758" s="69" t="n"/>
      <c r="B758" s="72" t="n"/>
      <c r="C758" s="73" t="n"/>
      <c r="D758" s="69" t="n"/>
      <c r="E758" s="69" t="n"/>
      <c r="F758" s="69" t="n"/>
      <c r="G758" s="69" t="n"/>
    </row>
    <row r="759">
      <c r="A759" s="69" t="n"/>
      <c r="B759" s="72" t="n"/>
      <c r="C759" s="73" t="n"/>
      <c r="D759" s="69" t="n"/>
      <c r="E759" s="69" t="n"/>
      <c r="F759" s="69" t="n"/>
      <c r="G759" s="69" t="n"/>
    </row>
    <row r="760">
      <c r="A760" s="69" t="n"/>
      <c r="B760" s="72" t="n"/>
      <c r="C760" s="73" t="n"/>
      <c r="D760" s="69" t="n"/>
      <c r="E760" s="69" t="n"/>
      <c r="F760" s="69" t="n"/>
      <c r="G760" s="69" t="n"/>
    </row>
    <row r="761">
      <c r="A761" s="69" t="n"/>
      <c r="B761" s="72" t="n"/>
      <c r="C761" s="73" t="n"/>
      <c r="D761" s="69" t="n"/>
      <c r="E761" s="69" t="n"/>
      <c r="F761" s="69" t="n"/>
      <c r="G761" s="69" t="n"/>
    </row>
    <row r="762">
      <c r="A762" s="69" t="n"/>
      <c r="B762" s="72" t="n"/>
      <c r="C762" s="73" t="n"/>
      <c r="D762" s="69" t="n"/>
      <c r="E762" s="69" t="n"/>
      <c r="F762" s="69" t="n"/>
      <c r="G762" s="69" t="n"/>
    </row>
    <row r="763">
      <c r="A763" s="69" t="n"/>
      <c r="B763" s="72" t="n"/>
      <c r="C763" s="73" t="n"/>
      <c r="D763" s="69" t="n"/>
      <c r="E763" s="69" t="n"/>
      <c r="F763" s="69" t="n"/>
      <c r="G763" s="69" t="n"/>
    </row>
    <row r="764">
      <c r="A764" s="69" t="n"/>
      <c r="B764" s="72" t="n"/>
      <c r="C764" s="73" t="n"/>
      <c r="D764" s="69" t="n"/>
      <c r="E764" s="69" t="n"/>
      <c r="F764" s="69" t="n"/>
      <c r="G764" s="69" t="n"/>
    </row>
    <row r="765">
      <c r="A765" s="69" t="n"/>
      <c r="B765" s="72" t="n"/>
      <c r="C765" s="73" t="n"/>
      <c r="D765" s="69" t="n"/>
      <c r="E765" s="69" t="n"/>
      <c r="F765" s="69" t="n"/>
      <c r="G765" s="69" t="n"/>
    </row>
    <row r="766">
      <c r="A766" s="69" t="n"/>
      <c r="B766" s="72" t="n"/>
      <c r="C766" s="73" t="n"/>
      <c r="D766" s="69" t="n"/>
      <c r="E766" s="69" t="n"/>
      <c r="F766" s="69" t="n"/>
      <c r="G766" s="69" t="n"/>
    </row>
    <row r="767">
      <c r="A767" s="69" t="n"/>
      <c r="B767" s="72" t="n"/>
      <c r="C767" s="73" t="n"/>
      <c r="D767" s="69" t="n"/>
      <c r="E767" s="69" t="n"/>
      <c r="F767" s="69" t="n"/>
      <c r="G767" s="69" t="n"/>
    </row>
    <row r="768">
      <c r="A768" s="69" t="n"/>
      <c r="B768" s="72" t="n"/>
      <c r="C768" s="73" t="n"/>
      <c r="D768" s="69" t="n"/>
      <c r="E768" s="69" t="n"/>
      <c r="F768" s="69" t="n"/>
      <c r="G768" s="69" t="n"/>
    </row>
    <row r="769">
      <c r="A769" s="69" t="n"/>
      <c r="B769" s="72" t="n"/>
      <c r="C769" s="73" t="n"/>
      <c r="D769" s="69" t="n"/>
      <c r="E769" s="69" t="n"/>
      <c r="F769" s="69" t="n"/>
      <c r="G769" s="69" t="n"/>
    </row>
    <row r="770">
      <c r="A770" s="69" t="n"/>
      <c r="B770" s="72" t="n"/>
      <c r="C770" s="73" t="n"/>
      <c r="D770" s="69" t="n"/>
      <c r="E770" s="69" t="n"/>
      <c r="F770" s="69" t="n"/>
      <c r="G770" s="69" t="n"/>
    </row>
    <row r="771">
      <c r="A771" s="69" t="n"/>
      <c r="B771" s="72" t="n"/>
      <c r="C771" s="73" t="n"/>
      <c r="D771" s="69" t="n"/>
      <c r="E771" s="69" t="n"/>
      <c r="F771" s="69" t="n"/>
      <c r="G771" s="69" t="n"/>
    </row>
    <row r="772">
      <c r="A772" s="69" t="n"/>
      <c r="B772" s="72" t="n"/>
      <c r="C772" s="73" t="n"/>
      <c r="D772" s="69" t="n"/>
      <c r="E772" s="69" t="n"/>
      <c r="F772" s="69" t="n"/>
      <c r="G772" s="69" t="n"/>
    </row>
    <row r="773">
      <c r="A773" s="69" t="n"/>
      <c r="B773" s="72" t="n"/>
      <c r="C773" s="73" t="n"/>
      <c r="D773" s="69" t="n"/>
      <c r="E773" s="69" t="n"/>
      <c r="F773" s="69" t="n"/>
      <c r="G773" s="69" t="n"/>
    </row>
    <row r="774">
      <c r="A774" s="69" t="n"/>
      <c r="B774" s="72" t="n"/>
      <c r="C774" s="73" t="n"/>
      <c r="D774" s="69" t="n"/>
      <c r="E774" s="69" t="n"/>
      <c r="F774" s="69" t="n"/>
      <c r="G774" s="69" t="n"/>
    </row>
    <row r="775">
      <c r="A775" s="69" t="n"/>
      <c r="B775" s="72" t="n"/>
      <c r="C775" s="73" t="n"/>
      <c r="D775" s="69" t="n"/>
      <c r="E775" s="69" t="n"/>
      <c r="F775" s="69" t="n"/>
      <c r="G775" s="69" t="n"/>
    </row>
    <row r="776">
      <c r="A776" s="69" t="n"/>
      <c r="B776" s="72" t="n"/>
      <c r="C776" s="73" t="n"/>
      <c r="D776" s="69" t="n"/>
      <c r="E776" s="69" t="n"/>
      <c r="F776" s="69" t="n"/>
      <c r="G776" s="69" t="n"/>
    </row>
    <row r="777">
      <c r="A777" s="69" t="n"/>
      <c r="B777" s="72" t="n"/>
      <c r="C777" s="73" t="n"/>
      <c r="D777" s="69" t="n"/>
      <c r="E777" s="69" t="n"/>
      <c r="F777" s="69" t="n"/>
      <c r="G777" s="69" t="n"/>
    </row>
    <row r="778">
      <c r="A778" s="69" t="n"/>
      <c r="B778" s="72" t="n"/>
      <c r="C778" s="73" t="n"/>
      <c r="D778" s="69" t="n"/>
      <c r="E778" s="69" t="n"/>
      <c r="F778" s="69" t="n"/>
      <c r="G778" s="69" t="n"/>
    </row>
    <row r="779">
      <c r="A779" s="69" t="n"/>
      <c r="B779" s="72" t="n"/>
      <c r="C779" s="73" t="n"/>
      <c r="D779" s="69" t="n"/>
      <c r="E779" s="69" t="n"/>
      <c r="F779" s="69" t="n"/>
      <c r="G779" s="69" t="n"/>
    </row>
    <row r="780">
      <c r="A780" s="69" t="n"/>
      <c r="B780" s="72" t="n"/>
      <c r="C780" s="73" t="n"/>
      <c r="D780" s="69" t="n"/>
      <c r="E780" s="69" t="n"/>
      <c r="F780" s="69" t="n"/>
      <c r="G780" s="69" t="n"/>
    </row>
    <row r="781">
      <c r="A781" s="69" t="n"/>
      <c r="B781" s="72" t="n"/>
      <c r="C781" s="73" t="n"/>
      <c r="D781" s="69" t="n"/>
      <c r="E781" s="69" t="n"/>
      <c r="F781" s="69" t="n"/>
      <c r="G781" s="69" t="n"/>
    </row>
    <row r="782">
      <c r="A782" s="69" t="n"/>
      <c r="B782" s="72" t="n"/>
      <c r="C782" s="73" t="n"/>
      <c r="D782" s="69" t="n"/>
      <c r="E782" s="69" t="n"/>
      <c r="F782" s="69" t="n"/>
      <c r="G782" s="69" t="n"/>
    </row>
    <row r="783">
      <c r="A783" s="69" t="n"/>
      <c r="B783" s="72" t="n"/>
      <c r="C783" s="73" t="n"/>
      <c r="D783" s="69" t="n"/>
      <c r="E783" s="69" t="n"/>
      <c r="F783" s="69" t="n"/>
      <c r="G783" s="69" t="n"/>
    </row>
    <row r="784">
      <c r="A784" s="69" t="n"/>
      <c r="B784" s="72" t="n"/>
      <c r="C784" s="73" t="n"/>
      <c r="D784" s="69" t="n"/>
      <c r="E784" s="69" t="n"/>
      <c r="F784" s="69" t="n"/>
      <c r="G784" s="69" t="n"/>
    </row>
    <row r="785">
      <c r="A785" s="69" t="n"/>
      <c r="B785" s="72" t="n"/>
      <c r="C785" s="73" t="n"/>
      <c r="D785" s="69" t="n"/>
      <c r="E785" s="69" t="n"/>
      <c r="F785" s="69" t="n"/>
      <c r="G785" s="69" t="n"/>
    </row>
    <row r="786">
      <c r="A786" s="69" t="n"/>
      <c r="B786" s="72" t="n"/>
      <c r="C786" s="73" t="n"/>
      <c r="D786" s="69" t="n"/>
      <c r="E786" s="69" t="n"/>
      <c r="F786" s="69" t="n"/>
      <c r="G786" s="69" t="n"/>
    </row>
    <row r="787">
      <c r="A787" s="69" t="n"/>
      <c r="B787" s="72" t="n"/>
      <c r="C787" s="73" t="n"/>
      <c r="D787" s="69" t="n"/>
      <c r="E787" s="69" t="n"/>
      <c r="F787" s="69" t="n"/>
      <c r="G787" s="69" t="n"/>
    </row>
    <row r="788">
      <c r="A788" s="69" t="n"/>
      <c r="B788" s="72" t="n"/>
      <c r="C788" s="73" t="n"/>
      <c r="D788" s="69" t="n"/>
      <c r="E788" s="69" t="n"/>
      <c r="F788" s="69" t="n"/>
      <c r="G788" s="69" t="n"/>
    </row>
    <row r="789">
      <c r="A789" s="69" t="n"/>
      <c r="B789" s="72" t="n"/>
      <c r="C789" s="73" t="n"/>
      <c r="D789" s="69" t="n"/>
      <c r="E789" s="69" t="n"/>
      <c r="F789" s="69" t="n"/>
      <c r="G789" s="69" t="n"/>
    </row>
    <row r="790">
      <c r="A790" s="69" t="n"/>
      <c r="B790" s="72" t="n"/>
      <c r="C790" s="73" t="n"/>
      <c r="D790" s="69" t="n"/>
      <c r="E790" s="69" t="n"/>
      <c r="F790" s="69" t="n"/>
      <c r="G790" s="69" t="n"/>
    </row>
    <row r="791">
      <c r="A791" s="69" t="n"/>
      <c r="B791" s="72" t="n"/>
      <c r="C791" s="73" t="n"/>
      <c r="D791" s="69" t="n"/>
      <c r="E791" s="69" t="n"/>
      <c r="F791" s="69" t="n"/>
      <c r="G791" s="69" t="n"/>
    </row>
    <row r="792">
      <c r="A792" s="69" t="n"/>
      <c r="B792" s="72" t="n"/>
      <c r="C792" s="73" t="n"/>
      <c r="D792" s="69" t="n"/>
      <c r="E792" s="69" t="n"/>
      <c r="F792" s="69" t="n"/>
      <c r="G792" s="69" t="n"/>
    </row>
    <row r="793">
      <c r="A793" s="69" t="n"/>
      <c r="B793" s="72" t="n"/>
      <c r="C793" s="73" t="n"/>
      <c r="D793" s="69" t="n"/>
      <c r="E793" s="69" t="n"/>
      <c r="F793" s="69" t="n"/>
      <c r="G793" s="69" t="n"/>
    </row>
    <row r="794">
      <c r="A794" s="69" t="n"/>
      <c r="B794" s="72" t="n"/>
      <c r="C794" s="73" t="n"/>
      <c r="D794" s="69" t="n"/>
      <c r="E794" s="69" t="n"/>
      <c r="F794" s="69" t="n"/>
      <c r="G794" s="69" t="n"/>
    </row>
    <row r="795">
      <c r="A795" s="69" t="n"/>
      <c r="B795" s="72" t="n"/>
      <c r="C795" s="73" t="n"/>
      <c r="D795" s="69" t="n"/>
      <c r="E795" s="69" t="n"/>
      <c r="F795" s="69" t="n"/>
      <c r="G795" s="69" t="n"/>
    </row>
    <row r="796">
      <c r="A796" s="69" t="n"/>
      <c r="B796" s="72" t="n"/>
      <c r="C796" s="73" t="n"/>
      <c r="D796" s="69" t="n"/>
      <c r="E796" s="69" t="n"/>
      <c r="F796" s="69" t="n"/>
      <c r="G796" s="69" t="n"/>
    </row>
    <row r="797">
      <c r="A797" s="69" t="n"/>
      <c r="B797" s="72" t="n"/>
      <c r="C797" s="73" t="n"/>
      <c r="D797" s="69" t="n"/>
      <c r="E797" s="69" t="n"/>
      <c r="F797" s="69" t="n"/>
      <c r="G797" s="69" t="n"/>
    </row>
    <row r="798">
      <c r="A798" s="69" t="n"/>
      <c r="B798" s="72" t="n"/>
      <c r="C798" s="73" t="n"/>
      <c r="D798" s="69" t="n"/>
      <c r="E798" s="69" t="n"/>
      <c r="F798" s="69" t="n"/>
      <c r="G798" s="69" t="n"/>
    </row>
    <row r="799">
      <c r="A799" s="69" t="n"/>
      <c r="B799" s="72" t="n"/>
      <c r="C799" s="73" t="n"/>
      <c r="D799" s="69" t="n"/>
      <c r="E799" s="69" t="n"/>
      <c r="F799" s="69" t="n"/>
      <c r="G799" s="69" t="n"/>
    </row>
    <row r="800">
      <c r="A800" s="69" t="n"/>
      <c r="B800" s="72" t="n"/>
      <c r="C800" s="73" t="n"/>
      <c r="D800" s="69" t="n"/>
      <c r="E800" s="69" t="n"/>
      <c r="F800" s="69" t="n"/>
      <c r="G800" s="69" t="n"/>
    </row>
    <row r="801">
      <c r="A801" s="69" t="n"/>
      <c r="B801" s="72" t="n"/>
      <c r="C801" s="73" t="n"/>
      <c r="D801" s="69" t="n"/>
      <c r="E801" s="69" t="n"/>
      <c r="F801" s="69" t="n"/>
      <c r="G801" s="69" t="n"/>
    </row>
    <row r="802">
      <c r="A802" s="69" t="n"/>
      <c r="B802" s="72" t="n"/>
      <c r="C802" s="73" t="n"/>
      <c r="D802" s="69" t="n"/>
      <c r="E802" s="69" t="n"/>
      <c r="F802" s="69" t="n"/>
      <c r="G802" s="69" t="n"/>
    </row>
    <row r="803">
      <c r="A803" s="69" t="n"/>
      <c r="B803" s="72" t="n"/>
      <c r="C803" s="73" t="n"/>
      <c r="D803" s="69" t="n"/>
      <c r="E803" s="69" t="n"/>
      <c r="F803" s="69" t="n"/>
      <c r="G803" s="69" t="n"/>
    </row>
    <row r="804">
      <c r="A804" s="69" t="n"/>
      <c r="B804" s="72" t="n"/>
      <c r="C804" s="73" t="n"/>
      <c r="D804" s="69" t="n"/>
      <c r="E804" s="69" t="n"/>
      <c r="F804" s="69" t="n"/>
      <c r="G804" s="69" t="n"/>
    </row>
    <row r="805">
      <c r="A805" s="69" t="n"/>
      <c r="B805" s="72" t="n"/>
      <c r="C805" s="73" t="n"/>
      <c r="D805" s="69" t="n"/>
      <c r="E805" s="69" t="n"/>
      <c r="F805" s="69" t="n"/>
      <c r="G805" s="69" t="n"/>
    </row>
    <row r="806">
      <c r="A806" s="69" t="n"/>
      <c r="B806" s="72" t="n"/>
      <c r="C806" s="73" t="n"/>
      <c r="D806" s="69" t="n"/>
      <c r="E806" s="69" t="n"/>
      <c r="F806" s="69" t="n"/>
      <c r="G806" s="69" t="n"/>
    </row>
    <row r="807">
      <c r="A807" s="69" t="n"/>
      <c r="B807" s="72" t="n"/>
      <c r="C807" s="73" t="n"/>
      <c r="D807" s="69" t="n"/>
      <c r="E807" s="69" t="n"/>
      <c r="F807" s="69" t="n"/>
      <c r="G807" s="69" t="n"/>
    </row>
    <row r="808">
      <c r="A808" s="69" t="n"/>
      <c r="B808" s="72" t="n"/>
      <c r="C808" s="73" t="n"/>
      <c r="D808" s="69" t="n"/>
      <c r="E808" s="69" t="n"/>
      <c r="F808" s="69" t="n"/>
      <c r="G808" s="69" t="n"/>
    </row>
    <row r="809">
      <c r="A809" s="69" t="n"/>
      <c r="B809" s="72" t="n"/>
      <c r="C809" s="73" t="n"/>
      <c r="D809" s="69" t="n"/>
      <c r="E809" s="69" t="n"/>
      <c r="F809" s="69" t="n"/>
      <c r="G809" s="69" t="n"/>
    </row>
    <row r="810">
      <c r="A810" s="69" t="n"/>
      <c r="B810" s="72" t="n"/>
      <c r="C810" s="73" t="n"/>
      <c r="D810" s="69" t="n"/>
      <c r="E810" s="69" t="n"/>
      <c r="F810" s="69" t="n"/>
      <c r="G810" s="69" t="n"/>
    </row>
    <row r="811">
      <c r="A811" s="69" t="n"/>
      <c r="B811" s="72" t="n"/>
      <c r="C811" s="73" t="n"/>
      <c r="D811" s="69" t="n"/>
      <c r="E811" s="69" t="n"/>
      <c r="F811" s="69" t="n"/>
      <c r="G811" s="69" t="n"/>
    </row>
    <row r="812">
      <c r="A812" s="69" t="n"/>
      <c r="B812" s="72" t="n"/>
      <c r="C812" s="73" t="n"/>
      <c r="D812" s="69" t="n"/>
      <c r="E812" s="69" t="n"/>
      <c r="F812" s="69" t="n"/>
      <c r="G812" s="69" t="n"/>
    </row>
    <row r="813">
      <c r="A813" s="69" t="n"/>
      <c r="B813" s="72" t="n"/>
      <c r="C813" s="73" t="n"/>
      <c r="D813" s="69" t="n"/>
      <c r="E813" s="69" t="n"/>
      <c r="F813" s="69" t="n"/>
      <c r="G813" s="69" t="n"/>
    </row>
    <row r="814">
      <c r="A814" s="69" t="n"/>
      <c r="B814" s="72" t="n"/>
      <c r="C814" s="73" t="n"/>
      <c r="D814" s="69" t="n"/>
      <c r="E814" s="69" t="n"/>
      <c r="F814" s="69" t="n"/>
      <c r="G814" s="69" t="n"/>
    </row>
    <row r="815">
      <c r="A815" s="69" t="n"/>
      <c r="B815" s="72" t="n"/>
      <c r="C815" s="73" t="n"/>
      <c r="D815" s="69" t="n"/>
      <c r="E815" s="69" t="n"/>
      <c r="F815" s="69" t="n"/>
      <c r="G815" s="69" t="n"/>
    </row>
    <row r="816">
      <c r="A816" s="69" t="n"/>
      <c r="B816" s="72" t="n"/>
      <c r="C816" s="73" t="n"/>
      <c r="D816" s="69" t="n"/>
      <c r="E816" s="69" t="n"/>
      <c r="F816" s="69" t="n"/>
      <c r="G816" s="69" t="n"/>
    </row>
    <row r="817">
      <c r="A817" s="69" t="n"/>
      <c r="B817" s="72" t="n"/>
      <c r="C817" s="73" t="n"/>
      <c r="D817" s="69" t="n"/>
      <c r="E817" s="69" t="n"/>
      <c r="F817" s="69" t="n"/>
      <c r="G817" s="69" t="n"/>
    </row>
    <row r="818">
      <c r="A818" s="69" t="n"/>
      <c r="B818" s="72" t="n"/>
      <c r="C818" s="73" t="n"/>
      <c r="D818" s="69" t="n"/>
      <c r="E818" s="69" t="n"/>
      <c r="F818" s="69" t="n"/>
      <c r="G818" s="69" t="n"/>
    </row>
    <row r="819">
      <c r="A819" s="69" t="n"/>
      <c r="B819" s="72" t="n"/>
      <c r="C819" s="73" t="n"/>
      <c r="D819" s="69" t="n"/>
      <c r="E819" s="69" t="n"/>
      <c r="F819" s="69" t="n"/>
      <c r="G819" s="69" t="n"/>
    </row>
    <row r="820">
      <c r="A820" s="69" t="n"/>
      <c r="B820" s="72" t="n"/>
      <c r="C820" s="73" t="n"/>
      <c r="D820" s="69" t="n"/>
      <c r="E820" s="69" t="n"/>
      <c r="F820" s="69" t="n"/>
      <c r="G820" s="69" t="n"/>
    </row>
    <row r="821">
      <c r="A821" s="69" t="n"/>
      <c r="B821" s="72" t="n"/>
      <c r="C821" s="73" t="n"/>
      <c r="D821" s="69" t="n"/>
      <c r="E821" s="69" t="n"/>
      <c r="F821" s="69" t="n"/>
      <c r="G821" s="69" t="n"/>
    </row>
    <row r="822">
      <c r="A822" s="69" t="n"/>
      <c r="B822" s="72" t="n"/>
      <c r="C822" s="73" t="n"/>
      <c r="D822" s="69" t="n"/>
      <c r="E822" s="69" t="n"/>
      <c r="F822" s="69" t="n"/>
      <c r="G822" s="69" t="n"/>
    </row>
    <row r="823">
      <c r="A823" s="69" t="n"/>
      <c r="B823" s="72" t="n"/>
      <c r="C823" s="73" t="n"/>
      <c r="D823" s="69" t="n"/>
      <c r="E823" s="69" t="n"/>
      <c r="F823" s="69" t="n"/>
      <c r="G823" s="69" t="n"/>
    </row>
    <row r="824">
      <c r="A824" s="69" t="n"/>
      <c r="B824" s="72" t="n"/>
      <c r="C824" s="73" t="n"/>
      <c r="D824" s="69" t="n"/>
      <c r="E824" s="69" t="n"/>
      <c r="F824" s="69" t="n"/>
      <c r="G824" s="69" t="n"/>
    </row>
    <row r="825">
      <c r="A825" s="69" t="n"/>
      <c r="B825" s="72" t="n"/>
      <c r="C825" s="73" t="n"/>
      <c r="D825" s="69" t="n"/>
      <c r="E825" s="69" t="n"/>
      <c r="F825" s="69" t="n"/>
      <c r="G825" s="69" t="n"/>
    </row>
    <row r="826">
      <c r="A826" s="69" t="n"/>
      <c r="B826" s="72" t="n"/>
      <c r="C826" s="73" t="n"/>
      <c r="D826" s="69" t="n"/>
      <c r="E826" s="69" t="n"/>
      <c r="F826" s="69" t="n"/>
      <c r="G826" s="69" t="n"/>
    </row>
    <row r="827">
      <c r="A827" s="69" t="n"/>
      <c r="B827" s="72" t="n"/>
      <c r="C827" s="73" t="n"/>
      <c r="D827" s="69" t="n"/>
      <c r="E827" s="69" t="n"/>
      <c r="F827" s="69" t="n"/>
      <c r="G827" s="69" t="n"/>
    </row>
    <row r="828">
      <c r="A828" s="69" t="n"/>
      <c r="B828" s="72" t="n"/>
      <c r="C828" s="73" t="n"/>
      <c r="D828" s="69" t="n"/>
      <c r="E828" s="69" t="n"/>
      <c r="F828" s="69" t="n"/>
      <c r="G828" s="69" t="n"/>
    </row>
    <row r="829">
      <c r="A829" s="69" t="n"/>
      <c r="B829" s="72" t="n"/>
      <c r="C829" s="73" t="n"/>
      <c r="D829" s="69" t="n"/>
      <c r="E829" s="69" t="n"/>
      <c r="F829" s="69" t="n"/>
      <c r="G829" s="69" t="n"/>
    </row>
    <row r="830">
      <c r="A830" s="69" t="n"/>
      <c r="B830" s="72" t="n"/>
      <c r="C830" s="73" t="n"/>
      <c r="D830" s="69" t="n"/>
      <c r="E830" s="69" t="n"/>
      <c r="F830" s="69" t="n"/>
      <c r="G830" s="69" t="n"/>
    </row>
    <row r="831">
      <c r="A831" s="69" t="n"/>
      <c r="B831" s="72" t="n"/>
      <c r="C831" s="73" t="n"/>
      <c r="D831" s="69" t="n"/>
      <c r="E831" s="69" t="n"/>
      <c r="F831" s="69" t="n"/>
      <c r="G831" s="69" t="n"/>
    </row>
    <row r="832">
      <c r="A832" s="69" t="n"/>
      <c r="B832" s="72" t="n"/>
      <c r="C832" s="73" t="n"/>
      <c r="D832" s="69" t="n"/>
      <c r="E832" s="69" t="n"/>
      <c r="F832" s="69" t="n"/>
      <c r="G832" s="69" t="n"/>
    </row>
    <row r="833">
      <c r="A833" s="69" t="n"/>
      <c r="B833" s="72" t="n"/>
      <c r="C833" s="73" t="n"/>
      <c r="D833" s="69" t="n"/>
      <c r="E833" s="69" t="n"/>
      <c r="F833" s="69" t="n"/>
      <c r="G833" s="69" t="n"/>
    </row>
    <row r="834">
      <c r="A834" s="69" t="n"/>
      <c r="B834" s="72" t="n"/>
      <c r="C834" s="73" t="n"/>
      <c r="D834" s="69" t="n"/>
      <c r="E834" s="69" t="n"/>
      <c r="F834" s="69" t="n"/>
      <c r="G834" s="69" t="n"/>
    </row>
    <row r="835">
      <c r="A835" s="69" t="n"/>
      <c r="B835" s="72" t="n"/>
      <c r="C835" s="73" t="n"/>
      <c r="D835" s="69" t="n"/>
      <c r="E835" s="69" t="n"/>
      <c r="F835" s="69" t="n"/>
      <c r="G835" s="69" t="n"/>
    </row>
    <row r="836">
      <c r="A836" s="69" t="n"/>
      <c r="B836" s="72" t="n"/>
      <c r="C836" s="73" t="n"/>
      <c r="D836" s="69" t="n"/>
      <c r="E836" s="69" t="n"/>
      <c r="F836" s="69" t="n"/>
      <c r="G836" s="69" t="n"/>
    </row>
    <row r="837">
      <c r="A837" s="69" t="n"/>
      <c r="B837" s="72" t="n"/>
      <c r="C837" s="73" t="n"/>
      <c r="D837" s="69" t="n"/>
      <c r="E837" s="69" t="n"/>
      <c r="F837" s="69" t="n"/>
      <c r="G837" s="69" t="n"/>
    </row>
    <row r="838">
      <c r="A838" s="69" t="n"/>
      <c r="B838" s="72" t="n"/>
      <c r="C838" s="73" t="n"/>
      <c r="D838" s="69" t="n"/>
      <c r="E838" s="69" t="n"/>
      <c r="F838" s="69" t="n"/>
      <c r="G838" s="69" t="n"/>
    </row>
    <row r="839">
      <c r="A839" s="69" t="n"/>
      <c r="B839" s="72" t="n"/>
      <c r="C839" s="73" t="n"/>
      <c r="D839" s="69" t="n"/>
      <c r="E839" s="69" t="n"/>
      <c r="F839" s="69" t="n"/>
      <c r="G839" s="69" t="n"/>
    </row>
    <row r="840">
      <c r="A840" s="69" t="n"/>
      <c r="B840" s="72" t="n"/>
      <c r="C840" s="73" t="n"/>
      <c r="D840" s="69" t="n"/>
      <c r="E840" s="69" t="n"/>
      <c r="F840" s="69" t="n"/>
      <c r="G840" s="69" t="n"/>
    </row>
    <row r="841">
      <c r="A841" s="69" t="n"/>
      <c r="B841" s="72" t="n"/>
      <c r="C841" s="73" t="n"/>
      <c r="D841" s="69" t="n"/>
      <c r="E841" s="69" t="n"/>
      <c r="F841" s="69" t="n"/>
      <c r="G841" s="69" t="n"/>
    </row>
    <row r="842">
      <c r="A842" s="69" t="n"/>
      <c r="B842" s="72" t="n"/>
      <c r="C842" s="73" t="n"/>
      <c r="D842" s="69" t="n"/>
      <c r="E842" s="69" t="n"/>
      <c r="F842" s="69" t="n"/>
      <c r="G842" s="69" t="n"/>
    </row>
    <row r="843">
      <c r="A843" s="69" t="n"/>
      <c r="B843" s="72" t="n"/>
      <c r="C843" s="73" t="n"/>
      <c r="D843" s="69" t="n"/>
      <c r="E843" s="69" t="n"/>
      <c r="F843" s="69" t="n"/>
      <c r="G843" s="69" t="n"/>
    </row>
    <row r="844">
      <c r="A844" s="69" t="n"/>
      <c r="B844" s="72" t="n"/>
      <c r="C844" s="73" t="n"/>
      <c r="D844" s="69" t="n"/>
      <c r="E844" s="69" t="n"/>
      <c r="F844" s="69" t="n"/>
      <c r="G844" s="69" t="n"/>
    </row>
    <row r="845">
      <c r="A845" s="69" t="n"/>
      <c r="B845" s="72" t="n"/>
      <c r="C845" s="73" t="n"/>
      <c r="D845" s="69" t="n"/>
      <c r="E845" s="69" t="n"/>
      <c r="F845" s="69" t="n"/>
      <c r="G845" s="69" t="n"/>
    </row>
    <row r="846">
      <c r="A846" s="69" t="n"/>
      <c r="B846" s="72" t="n"/>
      <c r="C846" s="73" t="n"/>
      <c r="D846" s="69" t="n"/>
      <c r="E846" s="69" t="n"/>
      <c r="F846" s="69" t="n"/>
      <c r="G846" s="69" t="n"/>
    </row>
    <row r="847">
      <c r="A847" s="69" t="n"/>
      <c r="B847" s="72" t="n"/>
      <c r="C847" s="73" t="n"/>
      <c r="D847" s="69" t="n"/>
      <c r="E847" s="69" t="n"/>
      <c r="F847" s="69" t="n"/>
      <c r="G847" s="69" t="n"/>
    </row>
    <row r="848">
      <c r="A848" s="69" t="n"/>
      <c r="B848" s="72" t="n"/>
      <c r="C848" s="73" t="n"/>
      <c r="D848" s="69" t="n"/>
      <c r="E848" s="69" t="n"/>
      <c r="F848" s="69" t="n"/>
      <c r="G848" s="69" t="n"/>
    </row>
    <row r="849">
      <c r="A849" s="69" t="n"/>
      <c r="B849" s="72" t="n"/>
      <c r="C849" s="73" t="n"/>
      <c r="D849" s="69" t="n"/>
      <c r="E849" s="69" t="n"/>
      <c r="F849" s="69" t="n"/>
      <c r="G849" s="69" t="n"/>
    </row>
    <row r="850">
      <c r="A850" s="69" t="n"/>
      <c r="B850" s="72" t="n"/>
      <c r="C850" s="73" t="n"/>
      <c r="D850" s="69" t="n"/>
      <c r="E850" s="69" t="n"/>
      <c r="F850" s="69" t="n"/>
      <c r="G850" s="69" t="n"/>
    </row>
    <row r="851">
      <c r="A851" s="69" t="n"/>
      <c r="B851" s="72" t="n"/>
      <c r="C851" s="73" t="n"/>
      <c r="D851" s="69" t="n"/>
      <c r="E851" s="69" t="n"/>
      <c r="F851" s="69" t="n"/>
      <c r="G851" s="69" t="n"/>
    </row>
    <row r="852">
      <c r="A852" s="69" t="n"/>
      <c r="B852" s="72" t="n"/>
      <c r="C852" s="73" t="n"/>
      <c r="D852" s="69" t="n"/>
      <c r="E852" s="69" t="n"/>
      <c r="F852" s="69" t="n"/>
      <c r="G852" s="69" t="n"/>
    </row>
    <row r="853">
      <c r="A853" s="69" t="n"/>
      <c r="B853" s="72" t="n"/>
      <c r="C853" s="73" t="n"/>
      <c r="D853" s="69" t="n"/>
      <c r="E853" s="69" t="n"/>
      <c r="F853" s="69" t="n"/>
      <c r="G853" s="69" t="n"/>
    </row>
    <row r="854">
      <c r="A854" s="69" t="n"/>
      <c r="B854" s="72" t="n"/>
      <c r="C854" s="73" t="n"/>
      <c r="D854" s="69" t="n"/>
      <c r="E854" s="69" t="n"/>
      <c r="F854" s="69" t="n"/>
      <c r="G854" s="69" t="n"/>
    </row>
    <row r="855">
      <c r="A855" s="69" t="n"/>
      <c r="B855" s="72" t="n"/>
      <c r="C855" s="73" t="n"/>
      <c r="D855" s="69" t="n"/>
      <c r="E855" s="69" t="n"/>
      <c r="F855" s="69" t="n"/>
      <c r="G855" s="69" t="n"/>
    </row>
    <row r="856">
      <c r="A856" s="69" t="n"/>
      <c r="B856" s="72" t="n"/>
      <c r="C856" s="73" t="n"/>
      <c r="D856" s="69" t="n"/>
      <c r="E856" s="69" t="n"/>
      <c r="F856" s="69" t="n"/>
      <c r="G856" s="69" t="n"/>
    </row>
    <row r="857">
      <c r="A857" s="69" t="n"/>
      <c r="B857" s="72" t="n"/>
      <c r="C857" s="73" t="n"/>
      <c r="D857" s="69" t="n"/>
      <c r="E857" s="69" t="n"/>
      <c r="F857" s="69" t="n"/>
      <c r="G857" s="69" t="n"/>
    </row>
    <row r="858">
      <c r="A858" s="69" t="n"/>
      <c r="B858" s="72" t="n"/>
      <c r="C858" s="73" t="n"/>
      <c r="D858" s="69" t="n"/>
      <c r="E858" s="69" t="n"/>
      <c r="F858" s="69" t="n"/>
      <c r="G858" s="69" t="n"/>
    </row>
    <row r="859">
      <c r="A859" s="69" t="n"/>
      <c r="B859" s="72" t="n"/>
      <c r="C859" s="73" t="n"/>
      <c r="D859" s="69" t="n"/>
      <c r="E859" s="69" t="n"/>
      <c r="F859" s="69" t="n"/>
      <c r="G859" s="69" t="n"/>
    </row>
    <row r="860">
      <c r="A860" s="69" t="n"/>
      <c r="B860" s="72" t="n"/>
      <c r="C860" s="73" t="n"/>
      <c r="D860" s="69" t="n"/>
      <c r="E860" s="69" t="n"/>
      <c r="F860" s="69" t="n"/>
      <c r="G860" s="69" t="n"/>
    </row>
    <row r="861">
      <c r="A861" s="69" t="n"/>
      <c r="B861" s="72" t="n"/>
      <c r="C861" s="73" t="n"/>
      <c r="D861" s="69" t="n"/>
      <c r="E861" s="69" t="n"/>
      <c r="F861" s="69" t="n"/>
      <c r="G861" s="69" t="n"/>
    </row>
    <row r="862">
      <c r="A862" s="69" t="n"/>
      <c r="B862" s="72" t="n"/>
      <c r="C862" s="73" t="n"/>
      <c r="D862" s="69" t="n"/>
      <c r="E862" s="69" t="n"/>
      <c r="F862" s="69" t="n"/>
      <c r="G862" s="69" t="n"/>
    </row>
    <row r="863">
      <c r="A863" s="69" t="n"/>
      <c r="B863" s="72" t="n"/>
      <c r="C863" s="73" t="n"/>
      <c r="D863" s="69" t="n"/>
      <c r="E863" s="69" t="n"/>
      <c r="F863" s="69" t="n"/>
      <c r="G863" s="69" t="n"/>
    </row>
    <row r="864">
      <c r="A864" s="69" t="n"/>
      <c r="B864" s="72" t="n"/>
      <c r="C864" s="73" t="n"/>
      <c r="D864" s="69" t="n"/>
      <c r="E864" s="69" t="n"/>
      <c r="F864" s="69" t="n"/>
      <c r="G864" s="69" t="n"/>
    </row>
    <row r="865">
      <c r="A865" s="69" t="n"/>
      <c r="B865" s="72" t="n"/>
      <c r="C865" s="73" t="n"/>
      <c r="D865" s="69" t="n"/>
      <c r="E865" s="69" t="n"/>
      <c r="F865" s="69" t="n"/>
      <c r="G865" s="69" t="n"/>
    </row>
    <row r="866">
      <c r="A866" s="69" t="n"/>
      <c r="B866" s="72" t="n"/>
      <c r="C866" s="73" t="n"/>
      <c r="D866" s="69" t="n"/>
      <c r="E866" s="69" t="n"/>
      <c r="F866" s="69" t="n"/>
      <c r="G866" s="69" t="n"/>
    </row>
    <row r="867">
      <c r="A867" s="69" t="n"/>
      <c r="B867" s="72" t="n"/>
      <c r="C867" s="73" t="n"/>
      <c r="D867" s="69" t="n"/>
      <c r="E867" s="69" t="n"/>
      <c r="F867" s="69" t="n"/>
      <c r="G867" s="69" t="n"/>
    </row>
    <row r="868">
      <c r="A868" s="69" t="n"/>
      <c r="B868" s="72" t="n"/>
      <c r="C868" s="73" t="n"/>
      <c r="D868" s="69" t="n"/>
      <c r="E868" s="69" t="n"/>
      <c r="F868" s="69" t="n"/>
      <c r="G868" s="69" t="n"/>
    </row>
    <row r="869">
      <c r="A869" s="69" t="n"/>
      <c r="B869" s="72" t="n"/>
      <c r="C869" s="73" t="n"/>
      <c r="D869" s="69" t="n"/>
      <c r="E869" s="69" t="n"/>
      <c r="F869" s="69" t="n"/>
      <c r="G869" s="69" t="n"/>
    </row>
    <row r="870">
      <c r="A870" s="69" t="n"/>
      <c r="B870" s="72" t="n"/>
      <c r="C870" s="73" t="n"/>
      <c r="D870" s="69" t="n"/>
      <c r="E870" s="69" t="n"/>
      <c r="F870" s="69" t="n"/>
      <c r="G870" s="69" t="n"/>
    </row>
    <row r="871">
      <c r="A871" s="69" t="n"/>
      <c r="B871" s="72" t="n"/>
      <c r="C871" s="73" t="n"/>
      <c r="D871" s="69" t="n"/>
      <c r="E871" s="69" t="n"/>
      <c r="F871" s="69" t="n"/>
      <c r="G871" s="69" t="n"/>
    </row>
    <row r="872">
      <c r="A872" s="69" t="n"/>
      <c r="B872" s="72" t="n"/>
      <c r="C872" s="73" t="n"/>
      <c r="D872" s="69" t="n"/>
      <c r="E872" s="69" t="n"/>
      <c r="F872" s="69" t="n"/>
      <c r="G872" s="69" t="n"/>
    </row>
    <row r="873">
      <c r="A873" s="69" t="n"/>
      <c r="B873" s="72" t="n"/>
      <c r="C873" s="73" t="n"/>
      <c r="D873" s="69" t="n"/>
      <c r="E873" s="69" t="n"/>
      <c r="F873" s="69" t="n"/>
      <c r="G873" s="69" t="n"/>
    </row>
    <row r="874">
      <c r="A874" s="69" t="n"/>
      <c r="B874" s="72" t="n"/>
      <c r="C874" s="73" t="n"/>
      <c r="D874" s="69" t="n"/>
      <c r="E874" s="69" t="n"/>
      <c r="F874" s="69" t="n"/>
      <c r="G874" s="69" t="n"/>
    </row>
    <row r="875">
      <c r="A875" s="69" t="n"/>
      <c r="B875" s="72" t="n"/>
      <c r="C875" s="73" t="n"/>
      <c r="D875" s="69" t="n"/>
      <c r="E875" s="69" t="n"/>
      <c r="F875" s="69" t="n"/>
      <c r="G875" s="69" t="n"/>
    </row>
    <row r="876">
      <c r="A876" s="69" t="n"/>
      <c r="B876" s="72" t="n"/>
      <c r="C876" s="73" t="n"/>
      <c r="D876" s="69" t="n"/>
      <c r="E876" s="69" t="n"/>
      <c r="F876" s="69" t="n"/>
      <c r="G876" s="69" t="n"/>
    </row>
    <row r="877">
      <c r="A877" s="69" t="n"/>
      <c r="B877" s="72" t="n"/>
      <c r="C877" s="73" t="n"/>
      <c r="D877" s="69" t="n"/>
      <c r="E877" s="69" t="n"/>
      <c r="F877" s="69" t="n"/>
      <c r="G877" s="69" t="n"/>
    </row>
    <row r="878">
      <c r="A878" s="69" t="n"/>
      <c r="B878" s="72" t="n"/>
      <c r="C878" s="73" t="n"/>
      <c r="D878" s="69" t="n"/>
      <c r="E878" s="69" t="n"/>
      <c r="F878" s="69" t="n"/>
      <c r="G878" s="69" t="n"/>
    </row>
    <row r="879">
      <c r="A879" s="69" t="n"/>
      <c r="B879" s="72" t="n"/>
      <c r="C879" s="73" t="n"/>
      <c r="D879" s="69" t="n"/>
      <c r="E879" s="69" t="n"/>
      <c r="F879" s="69" t="n"/>
      <c r="G879" s="69" t="n"/>
    </row>
    <row r="880">
      <c r="A880" s="69" t="n"/>
      <c r="B880" s="72" t="n"/>
      <c r="C880" s="73" t="n"/>
      <c r="D880" s="69" t="n"/>
      <c r="E880" s="69" t="n"/>
      <c r="F880" s="69" t="n"/>
      <c r="G880" s="69" t="n"/>
    </row>
    <row r="881">
      <c r="A881" s="69" t="n"/>
      <c r="B881" s="72" t="n"/>
      <c r="C881" s="73" t="n"/>
      <c r="D881" s="69" t="n"/>
      <c r="E881" s="69" t="n"/>
      <c r="F881" s="69" t="n"/>
      <c r="G881" s="69" t="n"/>
    </row>
    <row r="882">
      <c r="A882" s="69" t="n"/>
      <c r="B882" s="72" t="n"/>
      <c r="C882" s="73" t="n"/>
      <c r="D882" s="69" t="n"/>
      <c r="E882" s="69" t="n"/>
      <c r="F882" s="69" t="n"/>
      <c r="G882" s="69" t="n"/>
    </row>
    <row r="883">
      <c r="A883" s="69" t="n"/>
      <c r="B883" s="72" t="n"/>
      <c r="C883" s="73" t="n"/>
      <c r="D883" s="69" t="n"/>
      <c r="E883" s="69" t="n"/>
      <c r="F883" s="69" t="n"/>
      <c r="G883" s="69" t="n"/>
    </row>
    <row r="884">
      <c r="A884" s="69" t="n"/>
      <c r="B884" s="72" t="n"/>
      <c r="C884" s="73" t="n"/>
      <c r="D884" s="69" t="n"/>
      <c r="E884" s="69" t="n"/>
      <c r="F884" s="69" t="n"/>
      <c r="G884" s="69" t="n"/>
    </row>
    <row r="885">
      <c r="A885" s="69" t="n"/>
      <c r="B885" s="72" t="n"/>
      <c r="C885" s="73" t="n"/>
      <c r="D885" s="69" t="n"/>
      <c r="E885" s="69" t="n"/>
      <c r="F885" s="69" t="n"/>
      <c r="G885" s="69" t="n"/>
    </row>
    <row r="886">
      <c r="A886" s="69" t="n"/>
      <c r="B886" s="72" t="n"/>
      <c r="C886" s="73" t="n"/>
      <c r="D886" s="69" t="n"/>
      <c r="E886" s="69" t="n"/>
      <c r="F886" s="69" t="n"/>
      <c r="G886" s="69" t="n"/>
    </row>
    <row r="887">
      <c r="A887" s="69" t="n"/>
      <c r="B887" s="72" t="n"/>
      <c r="C887" s="73" t="n"/>
      <c r="D887" s="69" t="n"/>
      <c r="E887" s="69" t="n"/>
      <c r="F887" s="69" t="n"/>
      <c r="G887" s="69" t="n"/>
    </row>
    <row r="888">
      <c r="A888" s="69" t="n"/>
      <c r="B888" s="72" t="n"/>
      <c r="C888" s="73" t="n"/>
      <c r="D888" s="69" t="n"/>
      <c r="E888" s="69" t="n"/>
      <c r="F888" s="69" t="n"/>
      <c r="G888" s="69" t="n"/>
    </row>
    <row r="889">
      <c r="A889" s="69" t="n"/>
      <c r="B889" s="72" t="n"/>
      <c r="C889" s="73" t="n"/>
      <c r="D889" s="69" t="n"/>
      <c r="E889" s="69" t="n"/>
      <c r="F889" s="69" t="n"/>
      <c r="G889" s="69" t="n"/>
    </row>
    <row r="890">
      <c r="A890" s="69" t="n"/>
      <c r="B890" s="72" t="n"/>
      <c r="C890" s="73" t="n"/>
      <c r="D890" s="69" t="n"/>
      <c r="E890" s="69" t="n"/>
      <c r="F890" s="69" t="n"/>
      <c r="G890" s="69" t="n"/>
    </row>
    <row r="891">
      <c r="A891" s="69" t="n"/>
      <c r="B891" s="72" t="n"/>
      <c r="C891" s="73" t="n"/>
      <c r="D891" s="69" t="n"/>
      <c r="E891" s="69" t="n"/>
      <c r="F891" s="69" t="n"/>
      <c r="G891" s="69" t="n"/>
    </row>
    <row r="892">
      <c r="A892" s="69" t="n"/>
      <c r="B892" s="72" t="n"/>
      <c r="C892" s="73" t="n"/>
      <c r="D892" s="69" t="n"/>
      <c r="E892" s="69" t="n"/>
      <c r="F892" s="69" t="n"/>
      <c r="G892" s="69" t="n"/>
    </row>
    <row r="893">
      <c r="A893" s="69" t="n"/>
      <c r="B893" s="72" t="n"/>
      <c r="C893" s="73" t="n"/>
      <c r="D893" s="69" t="n"/>
      <c r="E893" s="69" t="n"/>
      <c r="F893" s="69" t="n"/>
      <c r="G893" s="69" t="n"/>
    </row>
    <row r="894">
      <c r="A894" s="69" t="n"/>
      <c r="B894" s="72" t="n"/>
      <c r="C894" s="73" t="n"/>
      <c r="D894" s="69" t="n"/>
      <c r="E894" s="69" t="n"/>
      <c r="F894" s="69" t="n"/>
      <c r="G894" s="69" t="n"/>
    </row>
    <row r="895">
      <c r="A895" s="69" t="n"/>
      <c r="B895" s="72" t="n"/>
      <c r="C895" s="73" t="n"/>
      <c r="D895" s="69" t="n"/>
      <c r="E895" s="69" t="n"/>
      <c r="F895" s="69" t="n"/>
      <c r="G895" s="69" t="n"/>
    </row>
    <row r="896">
      <c r="A896" s="69" t="n"/>
      <c r="B896" s="72" t="n"/>
      <c r="C896" s="73" t="n"/>
      <c r="D896" s="69" t="n"/>
      <c r="E896" s="69" t="n"/>
      <c r="F896" s="69" t="n"/>
      <c r="G896" s="69" t="n"/>
    </row>
    <row r="897">
      <c r="A897" s="69" t="n"/>
      <c r="B897" s="72" t="n"/>
      <c r="C897" s="73" t="n"/>
      <c r="D897" s="69" t="n"/>
      <c r="E897" s="69" t="n"/>
      <c r="F897" s="69" t="n"/>
      <c r="G897" s="69" t="n"/>
    </row>
    <row r="898">
      <c r="A898" s="69" t="n"/>
      <c r="B898" s="72" t="n"/>
      <c r="C898" s="73" t="n"/>
      <c r="D898" s="69" t="n"/>
      <c r="E898" s="69" t="n"/>
      <c r="F898" s="69" t="n"/>
      <c r="G898" s="69" t="n"/>
    </row>
    <row r="899">
      <c r="A899" s="69" t="n"/>
      <c r="B899" s="72" t="n"/>
      <c r="C899" s="73" t="n"/>
      <c r="D899" s="69" t="n"/>
      <c r="E899" s="69" t="n"/>
      <c r="F899" s="69" t="n"/>
      <c r="G899" s="69" t="n"/>
    </row>
    <row r="900">
      <c r="A900" s="69" t="n"/>
      <c r="B900" s="72" t="n"/>
      <c r="C900" s="73" t="n"/>
      <c r="D900" s="69" t="n"/>
      <c r="E900" s="69" t="n"/>
      <c r="F900" s="69" t="n"/>
      <c r="G900" s="69" t="n"/>
    </row>
    <row r="901">
      <c r="A901" s="69" t="n"/>
      <c r="B901" s="72" t="n"/>
      <c r="C901" s="73" t="n"/>
      <c r="D901" s="69" t="n"/>
      <c r="E901" s="69" t="n"/>
      <c r="F901" s="69" t="n"/>
      <c r="G901" s="69" t="n"/>
    </row>
    <row r="902">
      <c r="A902" s="69" t="n"/>
      <c r="B902" s="72" t="n"/>
      <c r="C902" s="73" t="n"/>
      <c r="D902" s="69" t="n"/>
      <c r="E902" s="69" t="n"/>
      <c r="F902" s="69" t="n"/>
      <c r="G902" s="69" t="n"/>
    </row>
    <row r="903">
      <c r="A903" s="69" t="n"/>
      <c r="B903" s="72" t="n"/>
      <c r="C903" s="73" t="n"/>
      <c r="D903" s="69" t="n"/>
      <c r="E903" s="69" t="n"/>
      <c r="F903" s="69" t="n"/>
      <c r="G903" s="69" t="n"/>
    </row>
    <row r="904">
      <c r="A904" s="69" t="n"/>
      <c r="B904" s="72" t="n"/>
      <c r="C904" s="73" t="n"/>
      <c r="D904" s="69" t="n"/>
      <c r="E904" s="69" t="n"/>
      <c r="F904" s="69" t="n"/>
      <c r="G904" s="69" t="n"/>
    </row>
    <row r="905">
      <c r="A905" s="69" t="n"/>
      <c r="B905" s="72" t="n"/>
      <c r="C905" s="73" t="n"/>
      <c r="D905" s="69" t="n"/>
      <c r="E905" s="69" t="n"/>
      <c r="F905" s="69" t="n"/>
      <c r="G905" s="69" t="n"/>
    </row>
    <row r="906">
      <c r="A906" s="69" t="n"/>
      <c r="B906" s="72" t="n"/>
      <c r="C906" s="73" t="n"/>
      <c r="D906" s="69" t="n"/>
      <c r="E906" s="69" t="n"/>
      <c r="F906" s="69" t="n"/>
      <c r="G906" s="69" t="n"/>
    </row>
    <row r="907">
      <c r="A907" s="69" t="n"/>
      <c r="B907" s="72" t="n"/>
      <c r="C907" s="73" t="n"/>
      <c r="D907" s="69" t="n"/>
      <c r="E907" s="69" t="n"/>
      <c r="F907" s="69" t="n"/>
      <c r="G907" s="69" t="n"/>
    </row>
    <row r="908">
      <c r="A908" s="69" t="n"/>
      <c r="B908" s="72" t="n"/>
      <c r="C908" s="73" t="n"/>
      <c r="D908" s="69" t="n"/>
      <c r="E908" s="69" t="n"/>
      <c r="F908" s="69" t="n"/>
      <c r="G908" s="69" t="n"/>
    </row>
    <row r="909">
      <c r="A909" s="69" t="n"/>
      <c r="B909" s="72" t="n"/>
      <c r="C909" s="73" t="n"/>
      <c r="D909" s="69" t="n"/>
      <c r="E909" s="69" t="n"/>
      <c r="F909" s="69" t="n"/>
      <c r="G909" s="69" t="n"/>
    </row>
    <row r="910">
      <c r="A910" s="69" t="n"/>
      <c r="B910" s="72" t="n"/>
      <c r="C910" s="73" t="n"/>
      <c r="D910" s="69" t="n"/>
      <c r="E910" s="69" t="n"/>
      <c r="F910" s="69" t="n"/>
      <c r="G910" s="69" t="n"/>
    </row>
    <row r="911">
      <c r="A911" s="69" t="n"/>
      <c r="B911" s="72" t="n"/>
      <c r="C911" s="73" t="n"/>
      <c r="D911" s="69" t="n"/>
      <c r="E911" s="69" t="n"/>
      <c r="F911" s="69" t="n"/>
      <c r="G911" s="69" t="n"/>
    </row>
    <row r="912">
      <c r="A912" s="69" t="n"/>
      <c r="B912" s="72" t="n"/>
      <c r="C912" s="73" t="n"/>
      <c r="D912" s="69" t="n"/>
      <c r="E912" s="69" t="n"/>
      <c r="F912" s="69" t="n"/>
      <c r="G912" s="69" t="n"/>
    </row>
    <row r="913">
      <c r="A913" s="69" t="n"/>
      <c r="B913" s="72" t="n"/>
      <c r="C913" s="73" t="n"/>
      <c r="D913" s="69" t="n"/>
      <c r="E913" s="69" t="n"/>
      <c r="F913" s="69" t="n"/>
      <c r="G913" s="69" t="n"/>
    </row>
    <row r="914">
      <c r="A914" s="69" t="n"/>
      <c r="B914" s="72" t="n"/>
      <c r="C914" s="73" t="n"/>
      <c r="D914" s="69" t="n"/>
      <c r="E914" s="69" t="n"/>
      <c r="F914" s="69" t="n"/>
      <c r="G914" s="69" t="n"/>
    </row>
    <row r="915">
      <c r="A915" s="69" t="n"/>
      <c r="B915" s="72" t="n"/>
      <c r="C915" s="73" t="n"/>
      <c r="D915" s="69" t="n"/>
      <c r="E915" s="69" t="n"/>
      <c r="F915" s="69" t="n"/>
      <c r="G915" s="69" t="n"/>
    </row>
    <row r="916">
      <c r="A916" s="69" t="n"/>
      <c r="B916" s="72" t="n"/>
      <c r="C916" s="73" t="n"/>
      <c r="D916" s="69" t="n"/>
      <c r="E916" s="69" t="n"/>
      <c r="F916" s="69" t="n"/>
      <c r="G916" s="69" t="n"/>
    </row>
    <row r="917">
      <c r="A917" s="69" t="n"/>
      <c r="B917" s="72" t="n"/>
      <c r="C917" s="73" t="n"/>
      <c r="D917" s="69" t="n"/>
      <c r="E917" s="69" t="n"/>
      <c r="F917" s="69" t="n"/>
      <c r="G917" s="69" t="n"/>
    </row>
    <row r="918">
      <c r="A918" s="69" t="n"/>
      <c r="B918" s="72" t="n"/>
      <c r="C918" s="73" t="n"/>
      <c r="D918" s="69" t="n"/>
      <c r="E918" s="69" t="n"/>
      <c r="F918" s="69" t="n"/>
      <c r="G918" s="69" t="n"/>
    </row>
    <row r="919">
      <c r="A919" s="69" t="n"/>
      <c r="B919" s="72" t="n"/>
      <c r="C919" s="73" t="n"/>
      <c r="D919" s="69" t="n"/>
      <c r="E919" s="69" t="n"/>
      <c r="F919" s="69" t="n"/>
      <c r="G919" s="69" t="n"/>
    </row>
    <row r="920">
      <c r="A920" s="69" t="n"/>
      <c r="B920" s="72" t="n"/>
      <c r="C920" s="73" t="n"/>
      <c r="D920" s="69" t="n"/>
      <c r="E920" s="69" t="n"/>
      <c r="F920" s="69" t="n"/>
      <c r="G920" s="69" t="n"/>
    </row>
    <row r="921">
      <c r="A921" s="69" t="n"/>
      <c r="B921" s="72" t="n"/>
      <c r="C921" s="73" t="n"/>
      <c r="D921" s="69" t="n"/>
      <c r="E921" s="69" t="n"/>
      <c r="F921" s="69" t="n"/>
      <c r="G921" s="69" t="n"/>
    </row>
    <row r="922">
      <c r="A922" s="69" t="n"/>
      <c r="B922" s="72" t="n"/>
      <c r="C922" s="73" t="n"/>
      <c r="D922" s="69" t="n"/>
      <c r="E922" s="69" t="n"/>
      <c r="F922" s="69" t="n"/>
      <c r="G922" s="69" t="n"/>
    </row>
    <row r="923">
      <c r="A923" s="69" t="n"/>
      <c r="B923" s="72" t="n"/>
      <c r="C923" s="73" t="n"/>
      <c r="D923" s="69" t="n"/>
      <c r="E923" s="69" t="n"/>
      <c r="F923" s="69" t="n"/>
      <c r="G923" s="69" t="n"/>
    </row>
    <row r="924">
      <c r="A924" s="69" t="n"/>
      <c r="B924" s="72" t="n"/>
      <c r="C924" s="73" t="n"/>
      <c r="D924" s="69" t="n"/>
      <c r="E924" s="69" t="n"/>
      <c r="F924" s="69" t="n"/>
      <c r="G924" s="69" t="n"/>
    </row>
    <row r="925">
      <c r="A925" s="69" t="n"/>
      <c r="B925" s="72" t="n"/>
      <c r="C925" s="73" t="n"/>
      <c r="D925" s="69" t="n"/>
      <c r="E925" s="69" t="n"/>
      <c r="F925" s="69" t="n"/>
      <c r="G925" s="69" t="n"/>
    </row>
    <row r="926">
      <c r="A926" s="69" t="n"/>
      <c r="B926" s="72" t="n"/>
      <c r="C926" s="73" t="n"/>
      <c r="D926" s="69" t="n"/>
      <c r="E926" s="69" t="n"/>
      <c r="F926" s="69" t="n"/>
      <c r="G926" s="69" t="n"/>
    </row>
    <row r="927">
      <c r="A927" s="69" t="n"/>
      <c r="B927" s="72" t="n"/>
      <c r="C927" s="73" t="n"/>
      <c r="D927" s="69" t="n"/>
      <c r="E927" s="69" t="n"/>
      <c r="F927" s="69" t="n"/>
      <c r="G927" s="69" t="n"/>
    </row>
    <row r="928">
      <c r="A928" s="69" t="n"/>
      <c r="B928" s="72" t="n"/>
      <c r="C928" s="73" t="n"/>
      <c r="D928" s="69" t="n"/>
      <c r="E928" s="69" t="n"/>
      <c r="F928" s="69" t="n"/>
      <c r="G928" s="69" t="n"/>
    </row>
    <row r="929">
      <c r="A929" s="69" t="n"/>
      <c r="B929" s="72" t="n"/>
      <c r="C929" s="73" t="n"/>
      <c r="D929" s="69" t="n"/>
      <c r="E929" s="69" t="n"/>
      <c r="F929" s="69" t="n"/>
      <c r="G929" s="69" t="n"/>
    </row>
    <row r="930">
      <c r="A930" s="69" t="n"/>
      <c r="B930" s="72" t="n"/>
      <c r="C930" s="73" t="n"/>
      <c r="D930" s="69" t="n"/>
      <c r="E930" s="69" t="n"/>
      <c r="F930" s="69" t="n"/>
      <c r="G930" s="69" t="n"/>
    </row>
    <row r="931">
      <c r="A931" s="69" t="n"/>
      <c r="B931" s="72" t="n"/>
      <c r="C931" s="73" t="n"/>
      <c r="D931" s="69" t="n"/>
      <c r="E931" s="69" t="n"/>
      <c r="F931" s="69" t="n"/>
      <c r="G931" s="69" t="n"/>
    </row>
    <row r="932">
      <c r="A932" s="69" t="n"/>
      <c r="B932" s="72" t="n"/>
      <c r="C932" s="73" t="n"/>
      <c r="D932" s="69" t="n"/>
      <c r="E932" s="69" t="n"/>
      <c r="F932" s="69" t="n"/>
      <c r="G932" s="69" t="n"/>
    </row>
    <row r="933">
      <c r="A933" s="69" t="n"/>
      <c r="B933" s="72" t="n"/>
      <c r="C933" s="73" t="n"/>
      <c r="D933" s="69" t="n"/>
      <c r="E933" s="69" t="n"/>
      <c r="F933" s="69" t="n"/>
      <c r="G933" s="69" t="n"/>
    </row>
    <row r="934">
      <c r="A934" s="69" t="n"/>
      <c r="B934" s="72" t="n"/>
      <c r="C934" s="73" t="n"/>
      <c r="D934" s="69" t="n"/>
      <c r="E934" s="69" t="n"/>
      <c r="F934" s="69" t="n"/>
      <c r="G934" s="69" t="n"/>
    </row>
    <row r="935">
      <c r="A935" s="69" t="n"/>
      <c r="B935" s="72" t="n"/>
      <c r="C935" s="73" t="n"/>
      <c r="D935" s="69" t="n"/>
      <c r="E935" s="69" t="n"/>
      <c r="F935" s="69" t="n"/>
      <c r="G935" s="69" t="n"/>
    </row>
    <row r="936">
      <c r="A936" s="69" t="n"/>
      <c r="B936" s="72" t="n"/>
      <c r="C936" s="73" t="n"/>
      <c r="D936" s="69" t="n"/>
      <c r="E936" s="69" t="n"/>
      <c r="F936" s="69" t="n"/>
      <c r="G936" s="69" t="n"/>
    </row>
    <row r="937">
      <c r="A937" s="69" t="n"/>
      <c r="B937" s="72" t="n"/>
      <c r="C937" s="73" t="n"/>
      <c r="D937" s="69" t="n"/>
      <c r="E937" s="69" t="n"/>
      <c r="F937" s="69" t="n"/>
      <c r="G937" s="69" t="n"/>
    </row>
    <row r="938">
      <c r="A938" s="69" t="n"/>
      <c r="B938" s="72" t="n"/>
      <c r="C938" s="73" t="n"/>
      <c r="D938" s="69" t="n"/>
      <c r="E938" s="69" t="n"/>
      <c r="F938" s="69" t="n"/>
      <c r="G938" s="69" t="n"/>
    </row>
    <row r="939">
      <c r="A939" s="69" t="n"/>
      <c r="B939" s="72" t="n"/>
      <c r="C939" s="73" t="n"/>
      <c r="D939" s="69" t="n"/>
      <c r="E939" s="69" t="n"/>
      <c r="F939" s="69" t="n"/>
      <c r="G939" s="69" t="n"/>
    </row>
    <row r="940">
      <c r="A940" s="69" t="n"/>
      <c r="B940" s="72" t="n"/>
      <c r="C940" s="73" t="n"/>
      <c r="D940" s="69" t="n"/>
      <c r="E940" s="69" t="n"/>
      <c r="F940" s="69" t="n"/>
      <c r="G940" s="69" t="n"/>
    </row>
    <row r="941">
      <c r="A941" s="69" t="n"/>
      <c r="B941" s="72" t="n"/>
      <c r="C941" s="73" t="n"/>
      <c r="D941" s="69" t="n"/>
      <c r="E941" s="69" t="n"/>
      <c r="F941" s="69" t="n"/>
      <c r="G941" s="69" t="n"/>
    </row>
    <row r="942">
      <c r="A942" s="69" t="n"/>
      <c r="B942" s="72" t="n"/>
      <c r="C942" s="73" t="n"/>
      <c r="D942" s="69" t="n"/>
      <c r="E942" s="69" t="n"/>
      <c r="F942" s="69" t="n"/>
      <c r="G942" s="69" t="n"/>
    </row>
    <row r="943">
      <c r="A943" s="69" t="n"/>
      <c r="B943" s="72" t="n"/>
      <c r="C943" s="73" t="n"/>
      <c r="D943" s="69" t="n"/>
      <c r="E943" s="69" t="n"/>
      <c r="F943" s="69" t="n"/>
      <c r="G943" s="69" t="n"/>
    </row>
    <row r="944">
      <c r="A944" s="69" t="n"/>
      <c r="B944" s="72" t="n"/>
      <c r="C944" s="73" t="n"/>
      <c r="D944" s="69" t="n"/>
      <c r="E944" s="69" t="n"/>
      <c r="F944" s="69" t="n"/>
      <c r="G944" s="69" t="n"/>
    </row>
    <row r="945">
      <c r="A945" s="69" t="n"/>
      <c r="B945" s="72" t="n"/>
      <c r="C945" s="73" t="n"/>
      <c r="D945" s="69" t="n"/>
      <c r="E945" s="69" t="n"/>
      <c r="F945" s="69" t="n"/>
      <c r="G945" s="69" t="n"/>
    </row>
    <row r="946">
      <c r="A946" s="69" t="n"/>
      <c r="B946" s="72" t="n"/>
      <c r="C946" s="73" t="n"/>
      <c r="D946" s="69" t="n"/>
      <c r="E946" s="69" t="n"/>
      <c r="F946" s="69" t="n"/>
      <c r="G946" s="69" t="n"/>
    </row>
    <row r="947">
      <c r="A947" s="69" t="n"/>
      <c r="B947" s="72" t="n"/>
      <c r="C947" s="73" t="n"/>
      <c r="D947" s="69" t="n"/>
      <c r="E947" s="69" t="n"/>
      <c r="F947" s="69" t="n"/>
      <c r="G947" s="69" t="n"/>
    </row>
    <row r="948">
      <c r="A948" s="69" t="n"/>
      <c r="B948" s="72" t="n"/>
      <c r="C948" s="73" t="n"/>
      <c r="D948" s="69" t="n"/>
      <c r="E948" s="69" t="n"/>
      <c r="F948" s="69" t="n"/>
      <c r="G948" s="69" t="n"/>
    </row>
    <row r="949">
      <c r="A949" s="69" t="n"/>
      <c r="B949" s="72" t="n"/>
      <c r="C949" s="73" t="n"/>
      <c r="D949" s="69" t="n"/>
      <c r="E949" s="69" t="n"/>
      <c r="F949" s="69" t="n"/>
      <c r="G949" s="69" t="n"/>
    </row>
    <row r="950">
      <c r="A950" s="69" t="n"/>
      <c r="B950" s="72" t="n"/>
      <c r="C950" s="73" t="n"/>
      <c r="D950" s="69" t="n"/>
      <c r="E950" s="69" t="n"/>
      <c r="F950" s="69" t="n"/>
      <c r="G950" s="69" t="n"/>
    </row>
    <row r="951">
      <c r="A951" s="69" t="n"/>
      <c r="B951" s="72" t="n"/>
      <c r="C951" s="73" t="n"/>
      <c r="D951" s="69" t="n"/>
      <c r="E951" s="69" t="n"/>
      <c r="F951" s="69" t="n"/>
      <c r="G951" s="69" t="n"/>
    </row>
    <row r="952">
      <c r="A952" s="69" t="n"/>
      <c r="B952" s="72" t="n"/>
      <c r="C952" s="73" t="n"/>
      <c r="D952" s="69" t="n"/>
      <c r="E952" s="69" t="n"/>
      <c r="F952" s="69" t="n"/>
      <c r="G952" s="69" t="n"/>
    </row>
    <row r="953">
      <c r="A953" s="69" t="n"/>
      <c r="B953" s="72" t="n"/>
      <c r="C953" s="73" t="n"/>
      <c r="D953" s="69" t="n"/>
      <c r="E953" s="69" t="n"/>
      <c r="F953" s="69" t="n"/>
      <c r="G953" s="69" t="n"/>
    </row>
    <row r="954">
      <c r="A954" s="69" t="n"/>
      <c r="B954" s="72" t="n"/>
      <c r="C954" s="73" t="n"/>
      <c r="D954" s="69" t="n"/>
      <c r="E954" s="69" t="n"/>
      <c r="F954" s="69" t="n"/>
      <c r="G954" s="69" t="n"/>
    </row>
    <row r="955">
      <c r="A955" s="69" t="n"/>
      <c r="B955" s="72" t="n"/>
      <c r="C955" s="73" t="n"/>
      <c r="D955" s="69" t="n"/>
      <c r="E955" s="69" t="n"/>
      <c r="F955" s="69" t="n"/>
      <c r="G955" s="69" t="n"/>
    </row>
    <row r="956">
      <c r="A956" s="69" t="n"/>
      <c r="B956" s="72" t="n"/>
      <c r="C956" s="73" t="n"/>
      <c r="D956" s="69" t="n"/>
      <c r="E956" s="69" t="n"/>
      <c r="F956" s="69" t="n"/>
      <c r="G956" s="69" t="n"/>
    </row>
    <row r="957">
      <c r="A957" s="69" t="n"/>
      <c r="B957" s="72" t="n"/>
      <c r="C957" s="73" t="n"/>
      <c r="D957" s="69" t="n"/>
      <c r="E957" s="69" t="n"/>
      <c r="F957" s="69" t="n"/>
      <c r="G957" s="69" t="n"/>
    </row>
    <row r="958">
      <c r="A958" s="69" t="n"/>
      <c r="B958" s="72" t="n"/>
      <c r="C958" s="73" t="n"/>
      <c r="D958" s="69" t="n"/>
      <c r="E958" s="69" t="n"/>
      <c r="F958" s="69" t="n"/>
      <c r="G958" s="69" t="n"/>
    </row>
    <row r="959">
      <c r="A959" s="69" t="n"/>
      <c r="B959" s="72" t="n"/>
      <c r="C959" s="73" t="n"/>
      <c r="D959" s="69" t="n"/>
      <c r="E959" s="69" t="n"/>
      <c r="F959" s="69" t="n"/>
      <c r="G959" s="69" t="n"/>
    </row>
    <row r="960">
      <c r="A960" s="69" t="n"/>
      <c r="B960" s="72" t="n"/>
      <c r="C960" s="73" t="n"/>
      <c r="D960" s="69" t="n"/>
      <c r="E960" s="69" t="n"/>
      <c r="F960" s="69" t="n"/>
      <c r="G960" s="69" t="n"/>
    </row>
    <row r="961">
      <c r="A961" s="69" t="n"/>
      <c r="B961" s="72" t="n"/>
      <c r="C961" s="73" t="n"/>
      <c r="D961" s="69" t="n"/>
      <c r="E961" s="69" t="n"/>
      <c r="F961" s="69" t="n"/>
      <c r="G961" s="69" t="n"/>
    </row>
    <row r="962">
      <c r="A962" s="69" t="n"/>
      <c r="B962" s="72" t="n"/>
      <c r="C962" s="73" t="n"/>
      <c r="D962" s="69" t="n"/>
      <c r="E962" s="69" t="n"/>
      <c r="F962" s="69" t="n"/>
      <c r="G962" s="69" t="n"/>
    </row>
    <row r="963">
      <c r="A963" s="69" t="n"/>
      <c r="B963" s="72" t="n"/>
      <c r="C963" s="73" t="n"/>
      <c r="D963" s="69" t="n"/>
      <c r="E963" s="69" t="n"/>
      <c r="F963" s="69" t="n"/>
      <c r="G963" s="69" t="n"/>
    </row>
    <row r="964">
      <c r="A964" s="69" t="n"/>
      <c r="B964" s="72" t="n"/>
      <c r="C964" s="73" t="n"/>
      <c r="D964" s="69" t="n"/>
      <c r="E964" s="69" t="n"/>
      <c r="F964" s="69" t="n"/>
      <c r="G964" s="69" t="n"/>
    </row>
    <row r="965">
      <c r="A965" s="69" t="n"/>
      <c r="B965" s="72" t="n"/>
      <c r="C965" s="73" t="n"/>
      <c r="D965" s="69" t="n"/>
      <c r="E965" s="69" t="n"/>
      <c r="F965" s="69" t="n"/>
      <c r="G965" s="69" t="n"/>
    </row>
    <row r="966">
      <c r="A966" s="69" t="n"/>
      <c r="B966" s="72" t="n"/>
      <c r="C966" s="73" t="n"/>
      <c r="D966" s="69" t="n"/>
      <c r="E966" s="69" t="n"/>
      <c r="F966" s="69" t="n"/>
      <c r="G966" s="69" t="n"/>
    </row>
    <row r="967">
      <c r="A967" s="69" t="n"/>
      <c r="B967" s="72" t="n"/>
      <c r="C967" s="73" t="n"/>
      <c r="D967" s="69" t="n"/>
      <c r="E967" s="69" t="n"/>
      <c r="F967" s="69" t="n"/>
      <c r="G967" s="69" t="n"/>
    </row>
    <row r="968">
      <c r="A968" s="69" t="n"/>
      <c r="B968" s="72" t="n"/>
      <c r="C968" s="73" t="n"/>
      <c r="D968" s="69" t="n"/>
      <c r="E968" s="69" t="n"/>
      <c r="F968" s="69" t="n"/>
      <c r="G968" s="69" t="n"/>
    </row>
    <row r="969">
      <c r="A969" s="69" t="n"/>
      <c r="B969" s="72" t="n"/>
      <c r="C969" s="73" t="n"/>
      <c r="D969" s="69" t="n"/>
      <c r="E969" s="69" t="n"/>
      <c r="F969" s="69" t="n"/>
      <c r="G969" s="69" t="n"/>
    </row>
    <row r="970">
      <c r="A970" s="69" t="n"/>
      <c r="B970" s="72" t="n"/>
      <c r="C970" s="73" t="n"/>
      <c r="D970" s="69" t="n"/>
      <c r="E970" s="69" t="n"/>
      <c r="F970" s="69" t="n"/>
      <c r="G970" s="69" t="n"/>
    </row>
    <row r="971">
      <c r="A971" s="69" t="n"/>
      <c r="B971" s="72" t="n"/>
      <c r="C971" s="73" t="n"/>
      <c r="D971" s="69" t="n"/>
      <c r="E971" s="69" t="n"/>
      <c r="F971" s="69" t="n"/>
      <c r="G971" s="69" t="n"/>
    </row>
    <row r="972">
      <c r="A972" s="69" t="n"/>
      <c r="B972" s="72" t="n"/>
      <c r="C972" s="73" t="n"/>
      <c r="D972" s="69" t="n"/>
      <c r="E972" s="69" t="n"/>
      <c r="F972" s="69" t="n"/>
      <c r="G972" s="69" t="n"/>
    </row>
    <row r="973">
      <c r="A973" s="69" t="n"/>
      <c r="B973" s="72" t="n"/>
      <c r="C973" s="73" t="n"/>
      <c r="D973" s="69" t="n"/>
      <c r="E973" s="69" t="n"/>
      <c r="F973" s="69" t="n"/>
      <c r="G973" s="69" t="n"/>
    </row>
    <row r="974">
      <c r="A974" s="69" t="n"/>
      <c r="B974" s="72" t="n"/>
      <c r="C974" s="73" t="n"/>
      <c r="D974" s="69" t="n"/>
      <c r="E974" s="69" t="n"/>
      <c r="F974" s="69" t="n"/>
      <c r="G974" s="69" t="n"/>
    </row>
    <row r="975">
      <c r="A975" s="69" t="n"/>
      <c r="B975" s="72" t="n"/>
      <c r="C975" s="73" t="n"/>
      <c r="D975" s="69" t="n"/>
      <c r="E975" s="69" t="n"/>
      <c r="F975" s="69" t="n"/>
      <c r="G975" s="69" t="n"/>
    </row>
    <row r="976">
      <c r="A976" s="69" t="n"/>
      <c r="B976" s="72" t="n"/>
      <c r="C976" s="73" t="n"/>
      <c r="D976" s="69" t="n"/>
      <c r="E976" s="69" t="n"/>
      <c r="F976" s="69" t="n"/>
      <c r="G976" s="69" t="n"/>
    </row>
    <row r="977">
      <c r="A977" s="69" t="n"/>
      <c r="B977" s="72" t="n"/>
      <c r="C977" s="73" t="n"/>
      <c r="D977" s="69" t="n"/>
      <c r="E977" s="69" t="n"/>
      <c r="F977" s="69" t="n"/>
      <c r="G977" s="69" t="n"/>
    </row>
    <row r="978">
      <c r="A978" s="69" t="n"/>
      <c r="B978" s="72" t="n"/>
      <c r="C978" s="73" t="n"/>
      <c r="D978" s="69" t="n"/>
      <c r="E978" s="69" t="n"/>
      <c r="F978" s="69" t="n"/>
      <c r="G978" s="69" t="n"/>
    </row>
    <row r="979">
      <c r="A979" s="69" t="n"/>
      <c r="B979" s="72" t="n"/>
      <c r="C979" s="73" t="n"/>
      <c r="D979" s="69" t="n"/>
      <c r="E979" s="69" t="n"/>
      <c r="F979" s="69" t="n"/>
      <c r="G979" s="69" t="n"/>
    </row>
    <row r="980">
      <c r="A980" s="69" t="n"/>
      <c r="B980" s="72" t="n"/>
      <c r="C980" s="73" t="n"/>
      <c r="D980" s="69" t="n"/>
      <c r="E980" s="69" t="n"/>
      <c r="F980" s="69" t="n"/>
      <c r="G980" s="69" t="n"/>
    </row>
    <row r="981">
      <c r="A981" s="69" t="n"/>
      <c r="B981" s="72" t="n"/>
      <c r="C981" s="73" t="n"/>
      <c r="D981" s="69" t="n"/>
      <c r="E981" s="69" t="n"/>
      <c r="F981" s="69" t="n"/>
      <c r="G981" s="69" t="n"/>
    </row>
    <row r="982">
      <c r="A982" s="69" t="n"/>
      <c r="B982" s="72" t="n"/>
      <c r="C982" s="73" t="n"/>
      <c r="D982" s="69" t="n"/>
      <c r="E982" s="69" t="n"/>
      <c r="F982" s="69" t="n"/>
      <c r="G982" s="69" t="n"/>
    </row>
    <row r="983">
      <c r="A983" s="69" t="n"/>
      <c r="B983" s="72" t="n"/>
      <c r="C983" s="73" t="n"/>
      <c r="D983" s="69" t="n"/>
      <c r="E983" s="69" t="n"/>
      <c r="F983" s="69" t="n"/>
      <c r="G983" s="69" t="n"/>
    </row>
    <row r="984">
      <c r="A984" s="69" t="n"/>
      <c r="B984" s="72" t="n"/>
      <c r="C984" s="73" t="n"/>
      <c r="D984" s="69" t="n"/>
      <c r="E984" s="69" t="n"/>
      <c r="F984" s="69" t="n"/>
      <c r="G984" s="69" t="n"/>
    </row>
    <row r="985">
      <c r="A985" s="69" t="n"/>
      <c r="B985" s="72" t="n"/>
      <c r="C985" s="73" t="n"/>
      <c r="D985" s="69" t="n"/>
      <c r="E985" s="69" t="n"/>
      <c r="F985" s="69" t="n"/>
      <c r="G985" s="69" t="n"/>
    </row>
    <row r="986">
      <c r="A986" s="69" t="n"/>
      <c r="B986" s="72" t="n"/>
      <c r="C986" s="73" t="n"/>
      <c r="D986" s="69" t="n"/>
      <c r="E986" s="69" t="n"/>
      <c r="F986" s="69" t="n"/>
      <c r="G986" s="69" t="n"/>
    </row>
    <row r="987">
      <c r="A987" s="69" t="n"/>
      <c r="B987" s="72" t="n"/>
      <c r="C987" s="73" t="n"/>
      <c r="D987" s="69" t="n"/>
      <c r="E987" s="69" t="n"/>
      <c r="F987" s="69" t="n"/>
      <c r="G987" s="69" t="n"/>
    </row>
    <row r="988">
      <c r="A988" s="69" t="n"/>
      <c r="B988" s="72" t="n"/>
      <c r="C988" s="73" t="n"/>
      <c r="D988" s="69" t="n"/>
      <c r="E988" s="69" t="n"/>
      <c r="F988" s="69" t="n"/>
      <c r="G988" s="69" t="n"/>
    </row>
    <row r="989">
      <c r="A989" s="69" t="n"/>
      <c r="B989" s="72" t="n"/>
      <c r="C989" s="73" t="n"/>
      <c r="D989" s="69" t="n"/>
      <c r="E989" s="69" t="n"/>
      <c r="F989" s="69" t="n"/>
      <c r="G989" s="69" t="n"/>
    </row>
    <row r="990">
      <c r="A990" s="69" t="n"/>
      <c r="B990" s="72" t="n"/>
      <c r="C990" s="73" t="n"/>
      <c r="D990" s="69" t="n"/>
      <c r="E990" s="69" t="n"/>
      <c r="F990" s="69" t="n"/>
      <c r="G990" s="69" t="n"/>
    </row>
    <row r="991">
      <c r="A991" s="69" t="n"/>
      <c r="B991" s="72" t="n"/>
      <c r="C991" s="73" t="n"/>
      <c r="D991" s="69" t="n"/>
      <c r="E991" s="69" t="n"/>
      <c r="F991" s="69" t="n"/>
      <c r="G991" s="69" t="n"/>
    </row>
    <row r="992">
      <c r="A992" s="69" t="n"/>
      <c r="B992" s="72" t="n"/>
      <c r="C992" s="73" t="n"/>
      <c r="D992" s="69" t="n"/>
      <c r="E992" s="69" t="n"/>
      <c r="F992" s="69" t="n"/>
      <c r="G992" s="69" t="n"/>
    </row>
    <row r="993">
      <c r="A993" s="69" t="n"/>
      <c r="B993" s="72" t="n"/>
      <c r="C993" s="73" t="n"/>
      <c r="D993" s="69" t="n"/>
      <c r="E993" s="69" t="n"/>
      <c r="F993" s="69" t="n"/>
      <c r="G993" s="69" t="n"/>
    </row>
    <row r="994">
      <c r="A994" s="69" t="n"/>
      <c r="B994" s="72" t="n"/>
      <c r="C994" s="73" t="n"/>
      <c r="D994" s="69" t="n"/>
      <c r="E994" s="69" t="n"/>
      <c r="F994" s="69" t="n"/>
      <c r="G994" s="69" t="n"/>
    </row>
    <row r="995">
      <c r="A995" s="69" t="n"/>
      <c r="B995" s="72" t="n"/>
      <c r="C995" s="73" t="n"/>
      <c r="D995" s="69" t="n"/>
      <c r="E995" s="69" t="n"/>
      <c r="F995" s="69" t="n"/>
      <c r="G995" s="69" t="n"/>
    </row>
    <row r="996">
      <c r="A996" s="69" t="n"/>
      <c r="B996" s="72" t="n"/>
      <c r="C996" s="73" t="n"/>
      <c r="D996" s="69" t="n"/>
      <c r="E996" s="69" t="n"/>
      <c r="F996" s="69" t="n"/>
      <c r="G996" s="69" t="n"/>
    </row>
    <row r="997">
      <c r="A997" s="69" t="n"/>
      <c r="B997" s="72" t="n"/>
      <c r="C997" s="73" t="n"/>
      <c r="D997" s="69" t="n"/>
      <c r="E997" s="69" t="n"/>
      <c r="F997" s="69" t="n"/>
      <c r="G997" s="69" t="n"/>
    </row>
    <row r="998">
      <c r="A998" s="69" t="n"/>
      <c r="B998" s="72" t="n"/>
      <c r="C998" s="73" t="n"/>
      <c r="D998" s="69" t="n"/>
      <c r="E998" s="69" t="n"/>
      <c r="F998" s="69" t="n"/>
      <c r="G998" s="69" t="n"/>
    </row>
    <row r="999">
      <c r="A999" s="69" t="n"/>
      <c r="B999" s="72" t="n"/>
      <c r="C999" s="73" t="n"/>
      <c r="D999" s="69" t="n"/>
      <c r="E999" s="69" t="n"/>
      <c r="F999" s="69" t="n"/>
      <c r="G999" s="69" t="n"/>
    </row>
    <row r="1000">
      <c r="A1000" s="69" t="n"/>
      <c r="B1000" s="72" t="n"/>
      <c r="C1000" s="73" t="n"/>
      <c r="D1000" s="69" t="n"/>
      <c r="E1000" s="69" t="n"/>
      <c r="F1000" s="69" t="n"/>
      <c r="G1000" s="69" t="n"/>
    </row>
    <row r="1001">
      <c r="A1001" s="69" t="n"/>
      <c r="B1001" s="72" t="n"/>
      <c r="C1001" s="73" t="n"/>
      <c r="D1001" s="69" t="n"/>
      <c r="E1001" s="69" t="n"/>
      <c r="F1001" s="69" t="n"/>
      <c r="G1001" s="69" t="n"/>
    </row>
    <row r="1002">
      <c r="A1002" s="69" t="n"/>
      <c r="B1002" s="72" t="n"/>
      <c r="C1002" s="73" t="n"/>
      <c r="D1002" s="69" t="n"/>
      <c r="E1002" s="69" t="n"/>
      <c r="F1002" s="69" t="n"/>
      <c r="G1002" s="69" t="n"/>
    </row>
    <row r="1003">
      <c r="A1003" s="69" t="n"/>
      <c r="B1003" s="72" t="n"/>
      <c r="C1003" s="73" t="n"/>
      <c r="D1003" s="69" t="n"/>
      <c r="E1003" s="69" t="n"/>
      <c r="F1003" s="69" t="n"/>
      <c r="G1003" s="69" t="n"/>
    </row>
    <row r="1004">
      <c r="A1004" s="69" t="n"/>
      <c r="B1004" s="72" t="n"/>
      <c r="C1004" s="73" t="n"/>
      <c r="D1004" s="69" t="n"/>
      <c r="E1004" s="69" t="n"/>
      <c r="F1004" s="69" t="n"/>
      <c r="G1004" s="69" t="n"/>
    </row>
    <row r="1005">
      <c r="A1005" s="69" t="n"/>
      <c r="B1005" s="72" t="n"/>
      <c r="C1005" s="73" t="n"/>
      <c r="D1005" s="69" t="n"/>
      <c r="E1005" s="69" t="n"/>
      <c r="F1005" s="69" t="n"/>
      <c r="G1005" s="69" t="n"/>
    </row>
    <row r="1006">
      <c r="A1006" s="69" t="n"/>
      <c r="B1006" s="72" t="n"/>
      <c r="C1006" s="73" t="n"/>
      <c r="D1006" s="69" t="n"/>
      <c r="E1006" s="69" t="n"/>
      <c r="F1006" s="69" t="n"/>
      <c r="G1006" s="69" t="n"/>
    </row>
    <row r="1007">
      <c r="A1007" s="69" t="n"/>
      <c r="B1007" s="72" t="n"/>
      <c r="C1007" s="73" t="n"/>
      <c r="D1007" s="69" t="n"/>
      <c r="E1007" s="69" t="n"/>
      <c r="F1007" s="69" t="n"/>
      <c r="G1007" s="69" t="n"/>
    </row>
    <row r="1008">
      <c r="A1008" s="69" t="n"/>
      <c r="B1008" s="72" t="n"/>
      <c r="C1008" s="73" t="n"/>
      <c r="D1008" s="69" t="n"/>
      <c r="E1008" s="69" t="n"/>
      <c r="F1008" s="69" t="n"/>
      <c r="G1008" s="69" t="n"/>
    </row>
    <row r="1009">
      <c r="A1009" s="69" t="n"/>
      <c r="C1009" s="355" t="n"/>
    </row>
    <row r="1010">
      <c r="A1010" s="69" t="n"/>
      <c r="C1010" s="355" t="n"/>
    </row>
  </sheetData>
  <mergeCells count="12">
    <mergeCell ref="B108:E108"/>
    <mergeCell ref="B56:E56"/>
    <mergeCell ref="B18:E18"/>
    <mergeCell ref="C110:E110"/>
    <mergeCell ref="B74:E74"/>
    <mergeCell ref="B68:E68"/>
    <mergeCell ref="B48:E48"/>
    <mergeCell ref="B62:E62"/>
    <mergeCell ref="B3:E3"/>
    <mergeCell ref="B80:E80"/>
    <mergeCell ref="B42:E42"/>
    <mergeCell ref="B36:E36"/>
  </mergeCells>
  <dataValidations count="1">
    <dataValidation sqref="C99" showDropDown="0" showInputMessage="0" showErrorMessage="1" allowBlank="1" type="list">
      <formula1>"普通,当座"</formula1>
    </dataValidation>
  </dataValidations>
  <pageMargins left="0.75" right="0.75" top="1" bottom="1" header="0.5" footer="0.5"/>
</worksheet>
</file>

<file path=xl/worksheets/sheet11.xml><?xml version="1.0" encoding="utf-8"?>
<worksheet xmlns="http://schemas.openxmlformats.org/spreadsheetml/2006/main">
  <sheetPr>
    <outlinePr summaryBelow="0" summaryRight="0"/>
    <pageSetUpPr/>
  </sheetPr>
  <dimension ref="B5:F51"/>
  <sheetViews>
    <sheetView workbookViewId="0">
      <selection activeCell="A1" sqref="A1"/>
    </sheetView>
  </sheetViews>
  <sheetFormatPr baseColWidth="8" defaultColWidth="12.63" defaultRowHeight="15.75" customHeight="1"/>
  <sheetData>
    <row r="5">
      <c r="B5" s="454" t="inlineStr">
        <is>
          <t>北海道</t>
        </is>
      </c>
      <c r="C5" s="475" t="n">
        <v>1075</v>
      </c>
      <c r="D5" s="454" t="inlineStr">
        <is>
          <t>/</t>
        </is>
      </c>
      <c r="E5" s="454">
        <f>B5&amp;D5&amp;C5&amp;F5</f>
        <v/>
      </c>
      <c r="F5" s="454" t="inlineStr">
        <is>
          <t>円</t>
        </is>
      </c>
    </row>
    <row r="6">
      <c r="B6" s="454" t="inlineStr">
        <is>
          <t>青森</t>
        </is>
      </c>
      <c r="C6" s="476" t="n">
        <v>1029</v>
      </c>
      <c r="D6" s="454" t="inlineStr">
        <is>
          <t>/</t>
        </is>
      </c>
      <c r="E6" s="454">
        <f>B6&amp;D6&amp;C6&amp;F6</f>
        <v/>
      </c>
      <c r="F6" s="454" t="inlineStr">
        <is>
          <t>円</t>
        </is>
      </c>
    </row>
    <row r="7">
      <c r="B7" s="454" t="inlineStr">
        <is>
          <t>岩手</t>
        </is>
      </c>
      <c r="C7" s="476" t="n">
        <v>1031</v>
      </c>
      <c r="D7" s="454" t="inlineStr">
        <is>
          <t>/</t>
        </is>
      </c>
      <c r="E7" s="454">
        <f>B7&amp;D7&amp;C7&amp;F7</f>
        <v/>
      </c>
      <c r="F7" s="454" t="inlineStr">
        <is>
          <t>円</t>
        </is>
      </c>
    </row>
    <row r="8">
      <c r="B8" s="454" t="inlineStr">
        <is>
          <t>宮城</t>
        </is>
      </c>
      <c r="C8" s="476" t="n">
        <v>1038</v>
      </c>
      <c r="D8" s="454" t="inlineStr">
        <is>
          <t>/</t>
        </is>
      </c>
      <c r="E8" s="454">
        <f>B8&amp;D8&amp;C8&amp;F8</f>
        <v/>
      </c>
      <c r="F8" s="454" t="inlineStr">
        <is>
          <t>円</t>
        </is>
      </c>
    </row>
    <row r="9">
      <c r="B9" s="454" t="inlineStr">
        <is>
          <t>秋田</t>
        </is>
      </c>
      <c r="C9" s="476" t="n">
        <v>1031</v>
      </c>
      <c r="D9" s="454" t="inlineStr">
        <is>
          <t>/</t>
        </is>
      </c>
      <c r="E9" s="454">
        <f>B9&amp;D9&amp;C9&amp;F9</f>
        <v/>
      </c>
      <c r="F9" s="454" t="inlineStr">
        <is>
          <t>円</t>
        </is>
      </c>
    </row>
    <row r="10">
      <c r="B10" s="454" t="inlineStr">
        <is>
          <t>山形</t>
        </is>
      </c>
      <c r="C10" s="476" t="n">
        <v>1032</v>
      </c>
      <c r="D10" s="454" t="inlineStr">
        <is>
          <t>/</t>
        </is>
      </c>
      <c r="E10" s="454">
        <f>B10&amp;D10&amp;C10&amp;F10</f>
        <v/>
      </c>
      <c r="F10" s="454" t="inlineStr">
        <is>
          <t>円</t>
        </is>
      </c>
    </row>
    <row r="11">
      <c r="B11" s="454" t="inlineStr">
        <is>
          <t>福島</t>
        </is>
      </c>
      <c r="C11" s="476" t="n">
        <v>1033</v>
      </c>
      <c r="D11" s="454" t="inlineStr">
        <is>
          <t>/</t>
        </is>
      </c>
      <c r="E11" s="454">
        <f>B11&amp;D11&amp;C11&amp;F11</f>
        <v/>
      </c>
      <c r="F11" s="454" t="inlineStr">
        <is>
          <t>円</t>
        </is>
      </c>
    </row>
    <row r="12">
      <c r="B12" s="454" t="inlineStr">
        <is>
          <t>茨城</t>
        </is>
      </c>
      <c r="C12" s="476" t="n">
        <v>1074</v>
      </c>
      <c r="D12" s="454" t="inlineStr">
        <is>
          <t>/</t>
        </is>
      </c>
      <c r="E12" s="454">
        <f>B12&amp;D12&amp;C12&amp;F12</f>
        <v/>
      </c>
      <c r="F12" s="454" t="inlineStr">
        <is>
          <t>円</t>
        </is>
      </c>
    </row>
    <row r="13">
      <c r="B13" s="454" t="inlineStr">
        <is>
          <t>栃木</t>
        </is>
      </c>
      <c r="C13" s="476" t="n">
        <v>1068</v>
      </c>
      <c r="D13" s="454" t="inlineStr">
        <is>
          <t>/</t>
        </is>
      </c>
      <c r="E13" s="454">
        <f>B13&amp;D13&amp;C13&amp;F13</f>
        <v/>
      </c>
      <c r="F13" s="454" t="inlineStr">
        <is>
          <t>円</t>
        </is>
      </c>
    </row>
    <row r="14">
      <c r="B14" s="454" t="inlineStr">
        <is>
          <t>群馬</t>
        </is>
      </c>
      <c r="C14" s="476" t="n">
        <v>1063</v>
      </c>
      <c r="D14" s="454" t="inlineStr">
        <is>
          <t>/</t>
        </is>
      </c>
      <c r="E14" s="454">
        <f>B14&amp;D14&amp;C14&amp;F14</f>
        <v/>
      </c>
      <c r="F14" s="454" t="inlineStr">
        <is>
          <t>円</t>
        </is>
      </c>
    </row>
    <row r="15">
      <c r="B15" s="454" t="inlineStr">
        <is>
          <t>埼玉</t>
        </is>
      </c>
      <c r="C15" s="476" t="n">
        <v>1141</v>
      </c>
      <c r="D15" s="454" t="inlineStr">
        <is>
          <t>/</t>
        </is>
      </c>
      <c r="E15" s="454">
        <f>B15&amp;D15&amp;C15&amp;F15</f>
        <v/>
      </c>
      <c r="F15" s="454" t="inlineStr">
        <is>
          <t>円</t>
        </is>
      </c>
    </row>
    <row r="16">
      <c r="B16" s="454" t="inlineStr">
        <is>
          <t>千葉</t>
        </is>
      </c>
      <c r="C16" s="476" t="n">
        <v>1140</v>
      </c>
      <c r="D16" s="454" t="inlineStr">
        <is>
          <t>/</t>
        </is>
      </c>
      <c r="E16" s="454">
        <f>B16&amp;D16&amp;C16&amp;F16</f>
        <v/>
      </c>
      <c r="F16" s="454" t="inlineStr">
        <is>
          <t>円</t>
        </is>
      </c>
    </row>
    <row r="17">
      <c r="B17" s="454" t="inlineStr">
        <is>
          <t>東京</t>
        </is>
      </c>
      <c r="C17" s="476" t="n">
        <v>1226</v>
      </c>
      <c r="D17" s="454" t="inlineStr">
        <is>
          <t>/</t>
        </is>
      </c>
      <c r="E17" s="454">
        <f>B17&amp;D17&amp;C17&amp;F17</f>
        <v/>
      </c>
      <c r="F17" s="454" t="inlineStr">
        <is>
          <t>円</t>
        </is>
      </c>
    </row>
    <row r="18">
      <c r="B18" s="454" t="inlineStr">
        <is>
          <t>神奈川</t>
        </is>
      </c>
      <c r="C18" s="476" t="n">
        <v>1225</v>
      </c>
      <c r="D18" s="454" t="inlineStr">
        <is>
          <t>/</t>
        </is>
      </c>
      <c r="E18" s="454">
        <f>B18&amp;D18&amp;C18&amp;F18</f>
        <v/>
      </c>
      <c r="F18" s="454" t="inlineStr">
        <is>
          <t>円</t>
        </is>
      </c>
    </row>
    <row r="19">
      <c r="B19" s="454" t="inlineStr">
        <is>
          <t>新潟</t>
        </is>
      </c>
      <c r="C19" s="476" t="n">
        <v>1050</v>
      </c>
      <c r="D19" s="454" t="inlineStr">
        <is>
          <t>/</t>
        </is>
      </c>
      <c r="E19" s="454">
        <f>B19&amp;D19&amp;C19&amp;F19</f>
        <v/>
      </c>
      <c r="F19" s="454" t="inlineStr">
        <is>
          <t>円</t>
        </is>
      </c>
    </row>
    <row r="20">
      <c r="B20" s="454" t="inlineStr">
        <is>
          <t>富山</t>
        </is>
      </c>
      <c r="C20" s="476" t="n">
        <v>1062</v>
      </c>
      <c r="D20" s="454" t="inlineStr">
        <is>
          <t>/</t>
        </is>
      </c>
      <c r="E20" s="454">
        <f>B20&amp;D20&amp;C20&amp;F20</f>
        <v/>
      </c>
      <c r="F20" s="454" t="inlineStr">
        <is>
          <t>円</t>
        </is>
      </c>
    </row>
    <row r="21">
      <c r="B21" s="454" t="inlineStr">
        <is>
          <t>石川</t>
        </is>
      </c>
      <c r="C21" s="476" t="n">
        <v>1054</v>
      </c>
      <c r="D21" s="454" t="inlineStr">
        <is>
          <t>/</t>
        </is>
      </c>
      <c r="E21" s="454">
        <f>B21&amp;D21&amp;C21&amp;F21</f>
        <v/>
      </c>
      <c r="F21" s="454" t="inlineStr">
        <is>
          <t>円</t>
        </is>
      </c>
    </row>
    <row r="22">
      <c r="B22" s="454" t="inlineStr">
        <is>
          <t>福井</t>
        </is>
      </c>
      <c r="C22" s="476" t="n">
        <v>1053</v>
      </c>
      <c r="D22" s="454" t="inlineStr">
        <is>
          <t>/</t>
        </is>
      </c>
      <c r="E22" s="454">
        <f>B22&amp;D22&amp;C22&amp;F22</f>
        <v/>
      </c>
      <c r="F22" s="454" t="inlineStr">
        <is>
          <t>円</t>
        </is>
      </c>
    </row>
    <row r="23">
      <c r="B23" s="454" t="inlineStr">
        <is>
          <t>山梨</t>
        </is>
      </c>
      <c r="C23" s="476" t="n">
        <v>1052</v>
      </c>
      <c r="D23" s="454" t="inlineStr">
        <is>
          <t>/</t>
        </is>
      </c>
      <c r="E23" s="454">
        <f>B23&amp;D23&amp;C23&amp;F23</f>
        <v/>
      </c>
      <c r="F23" s="454" t="inlineStr">
        <is>
          <t>円</t>
        </is>
      </c>
    </row>
    <row r="24">
      <c r="B24" s="454" t="inlineStr">
        <is>
          <t>長野</t>
        </is>
      </c>
      <c r="C24" s="476" t="n">
        <v>1061</v>
      </c>
      <c r="D24" s="454" t="inlineStr">
        <is>
          <t>/</t>
        </is>
      </c>
      <c r="E24" s="454">
        <f>B24&amp;D24&amp;C24&amp;F24</f>
        <v/>
      </c>
      <c r="F24" s="454" t="inlineStr">
        <is>
          <t>円</t>
        </is>
      </c>
    </row>
    <row r="25">
      <c r="B25" s="454" t="inlineStr">
        <is>
          <t>岐阜</t>
        </is>
      </c>
      <c r="C25" s="476" t="n">
        <v>1065</v>
      </c>
      <c r="D25" s="454" t="inlineStr">
        <is>
          <t>/</t>
        </is>
      </c>
      <c r="E25" s="454">
        <f>B25&amp;D25&amp;C25&amp;F25</f>
        <v/>
      </c>
      <c r="F25" s="454" t="inlineStr">
        <is>
          <t>円</t>
        </is>
      </c>
    </row>
    <row r="26">
      <c r="B26" s="454" t="inlineStr">
        <is>
          <t>静岡</t>
        </is>
      </c>
      <c r="C26" s="476" t="n">
        <v>1097</v>
      </c>
      <c r="D26" s="454" t="inlineStr">
        <is>
          <t>/</t>
        </is>
      </c>
      <c r="E26" s="454">
        <f>B26&amp;D26&amp;C26&amp;F26</f>
        <v/>
      </c>
      <c r="F26" s="454" t="inlineStr">
        <is>
          <t>円</t>
        </is>
      </c>
    </row>
    <row r="27">
      <c r="B27" s="454" t="inlineStr">
        <is>
          <t>愛知</t>
        </is>
      </c>
      <c r="C27" s="476" t="n">
        <v>1140</v>
      </c>
      <c r="D27" s="454" t="inlineStr">
        <is>
          <t>/</t>
        </is>
      </c>
      <c r="E27" s="454">
        <f>B27&amp;D27&amp;C27&amp;F27</f>
        <v/>
      </c>
      <c r="F27" s="454" t="inlineStr">
        <is>
          <t>円</t>
        </is>
      </c>
    </row>
    <row r="28">
      <c r="B28" s="454" t="inlineStr">
        <is>
          <t>三重</t>
        </is>
      </c>
      <c r="C28" s="476" t="n">
        <v>1087</v>
      </c>
      <c r="D28" s="454" t="inlineStr">
        <is>
          <t>/</t>
        </is>
      </c>
      <c r="E28" s="454">
        <f>B28&amp;D28&amp;C28&amp;F28</f>
        <v/>
      </c>
      <c r="F28" s="454" t="inlineStr">
        <is>
          <t>円</t>
        </is>
      </c>
    </row>
    <row r="29">
      <c r="B29" s="454" t="inlineStr">
        <is>
          <t>滋賀</t>
        </is>
      </c>
      <c r="C29" s="476" t="n">
        <v>1080</v>
      </c>
      <c r="D29" s="454" t="inlineStr">
        <is>
          <t>/</t>
        </is>
      </c>
      <c r="E29" s="454">
        <f>B29&amp;D29&amp;C29&amp;F29</f>
        <v/>
      </c>
      <c r="F29" s="454" t="inlineStr">
        <is>
          <t>円</t>
        </is>
      </c>
    </row>
    <row r="30">
      <c r="B30" s="454" t="inlineStr">
        <is>
          <t>京都</t>
        </is>
      </c>
      <c r="C30" s="476" t="n">
        <v>1122</v>
      </c>
      <c r="D30" s="454" t="inlineStr">
        <is>
          <t>/</t>
        </is>
      </c>
      <c r="E30" s="454">
        <f>B30&amp;D30&amp;C30&amp;F30</f>
        <v/>
      </c>
      <c r="F30" s="454" t="inlineStr">
        <is>
          <t>円</t>
        </is>
      </c>
    </row>
    <row r="31">
      <c r="B31" s="454" t="inlineStr">
        <is>
          <t>大阪</t>
        </is>
      </c>
      <c r="C31" s="476" t="n">
        <v>1177</v>
      </c>
      <c r="D31" s="454" t="inlineStr">
        <is>
          <t>/</t>
        </is>
      </c>
      <c r="E31" s="454">
        <f>B31&amp;D31&amp;C31&amp;F31</f>
        <v/>
      </c>
      <c r="F31" s="454" t="inlineStr">
        <is>
          <t>円</t>
        </is>
      </c>
    </row>
    <row r="32">
      <c r="B32" s="454" t="inlineStr">
        <is>
          <t>兵庫</t>
        </is>
      </c>
      <c r="C32" s="476" t="n">
        <v>1116</v>
      </c>
      <c r="D32" s="454" t="inlineStr">
        <is>
          <t>/</t>
        </is>
      </c>
      <c r="E32" s="454">
        <f>B32&amp;D32&amp;C32&amp;F32</f>
        <v/>
      </c>
      <c r="F32" s="454" t="inlineStr">
        <is>
          <t>円</t>
        </is>
      </c>
    </row>
    <row r="33">
      <c r="B33" s="454" t="inlineStr">
        <is>
          <t>奈良</t>
        </is>
      </c>
      <c r="C33" s="476" t="n">
        <v>1051</v>
      </c>
      <c r="D33" s="454" t="inlineStr">
        <is>
          <t>/</t>
        </is>
      </c>
      <c r="E33" s="454">
        <f>B33&amp;D33&amp;C33&amp;F33</f>
        <v/>
      </c>
      <c r="F33" s="454" t="inlineStr">
        <is>
          <t>円</t>
        </is>
      </c>
    </row>
    <row r="34">
      <c r="B34" s="454" t="inlineStr">
        <is>
          <t>和歌山</t>
        </is>
      </c>
      <c r="C34" s="476" t="n">
        <v>1045</v>
      </c>
      <c r="D34" s="454" t="inlineStr">
        <is>
          <t>/</t>
        </is>
      </c>
      <c r="E34" s="454">
        <f>B34&amp;D34&amp;C34&amp;F34</f>
        <v/>
      </c>
      <c r="F34" s="454" t="inlineStr">
        <is>
          <t>円</t>
        </is>
      </c>
    </row>
    <row r="35">
      <c r="B35" s="454" t="inlineStr">
        <is>
          <t>鳥取</t>
        </is>
      </c>
      <c r="C35" s="476" t="n">
        <v>1030</v>
      </c>
      <c r="D35" s="454" t="inlineStr">
        <is>
          <t>/</t>
        </is>
      </c>
      <c r="E35" s="454">
        <f>B35&amp;D35&amp;C35&amp;F35</f>
        <v/>
      </c>
      <c r="F35" s="454" t="inlineStr">
        <is>
          <t>円</t>
        </is>
      </c>
    </row>
    <row r="36">
      <c r="B36" s="454" t="inlineStr">
        <is>
          <t>島根</t>
        </is>
      </c>
      <c r="C36" s="476" t="n">
        <v>1033</v>
      </c>
      <c r="D36" s="454" t="inlineStr">
        <is>
          <t>/</t>
        </is>
      </c>
      <c r="E36" s="454">
        <f>B36&amp;D36&amp;C36&amp;F36</f>
        <v/>
      </c>
      <c r="F36" s="454" t="inlineStr">
        <is>
          <t>円</t>
        </is>
      </c>
    </row>
    <row r="37">
      <c r="B37" s="454" t="inlineStr">
        <is>
          <t>岡山</t>
        </is>
      </c>
      <c r="C37" s="476" t="n">
        <v>1047</v>
      </c>
      <c r="D37" s="454" t="inlineStr">
        <is>
          <t>/</t>
        </is>
      </c>
      <c r="E37" s="454">
        <f>B37&amp;D37&amp;C37&amp;F37</f>
        <v/>
      </c>
      <c r="F37" s="454" t="inlineStr">
        <is>
          <t>円</t>
        </is>
      </c>
    </row>
    <row r="38">
      <c r="B38" s="454" t="inlineStr">
        <is>
          <t>広島</t>
        </is>
      </c>
      <c r="C38" s="476" t="n">
        <v>1085</v>
      </c>
      <c r="D38" s="454" t="inlineStr">
        <is>
          <t>/</t>
        </is>
      </c>
      <c r="E38" s="454">
        <f>B38&amp;D38&amp;C38&amp;F38</f>
        <v/>
      </c>
      <c r="F38" s="454" t="inlineStr">
        <is>
          <t>円</t>
        </is>
      </c>
    </row>
    <row r="39">
      <c r="B39" s="454" t="inlineStr">
        <is>
          <t>山口</t>
        </is>
      </c>
      <c r="C39" s="476" t="n">
        <v>1043</v>
      </c>
      <c r="D39" s="454" t="inlineStr">
        <is>
          <t>/</t>
        </is>
      </c>
      <c r="E39" s="454">
        <f>B39&amp;D39&amp;C39&amp;F39</f>
        <v/>
      </c>
      <c r="F39" s="454" t="inlineStr">
        <is>
          <t>円</t>
        </is>
      </c>
    </row>
    <row r="40">
      <c r="B40" s="454" t="inlineStr">
        <is>
          <t>徳島</t>
        </is>
      </c>
      <c r="C40" s="476" t="n">
        <v>1046</v>
      </c>
      <c r="D40" s="454" t="inlineStr">
        <is>
          <t>/</t>
        </is>
      </c>
      <c r="E40" s="454">
        <f>B40&amp;D40&amp;C40&amp;F40</f>
        <v/>
      </c>
      <c r="F40" s="454" t="inlineStr">
        <is>
          <t>円</t>
        </is>
      </c>
    </row>
    <row r="41">
      <c r="B41" s="454" t="inlineStr">
        <is>
          <t>香川</t>
        </is>
      </c>
      <c r="C41" s="476" t="n">
        <v>1036</v>
      </c>
      <c r="D41" s="454" t="inlineStr">
        <is>
          <t>/</t>
        </is>
      </c>
      <c r="E41" s="454">
        <f>B41&amp;D41&amp;C41&amp;F41</f>
        <v/>
      </c>
      <c r="F41" s="454" t="inlineStr">
        <is>
          <t>円</t>
        </is>
      </c>
    </row>
    <row r="42">
      <c r="B42" s="454" t="inlineStr">
        <is>
          <t>愛媛</t>
        </is>
      </c>
      <c r="C42" s="476" t="n">
        <v>1033</v>
      </c>
      <c r="D42" s="454" t="inlineStr">
        <is>
          <t>/</t>
        </is>
      </c>
      <c r="E42" s="454">
        <f>B42&amp;D42&amp;C42&amp;F42</f>
        <v/>
      </c>
      <c r="F42" s="454" t="inlineStr">
        <is>
          <t>円</t>
        </is>
      </c>
    </row>
    <row r="43">
      <c r="B43" s="454" t="inlineStr">
        <is>
          <t>高知</t>
        </is>
      </c>
      <c r="C43" s="476" t="n">
        <v>1023</v>
      </c>
      <c r="D43" s="454" t="inlineStr">
        <is>
          <t>/</t>
        </is>
      </c>
      <c r="E43" s="454">
        <f>B43&amp;D43&amp;C43&amp;F43</f>
        <v/>
      </c>
      <c r="F43" s="454" t="inlineStr">
        <is>
          <t>円</t>
        </is>
      </c>
    </row>
    <row r="44">
      <c r="B44" s="454" t="inlineStr">
        <is>
          <t>福岡</t>
        </is>
      </c>
      <c r="C44" s="476" t="n">
        <v>1057</v>
      </c>
      <c r="D44" s="454" t="inlineStr">
        <is>
          <t>/</t>
        </is>
      </c>
      <c r="E44" s="454">
        <f>B44&amp;D44&amp;C44&amp;F44</f>
        <v/>
      </c>
      <c r="F44" s="454" t="inlineStr">
        <is>
          <t>円</t>
        </is>
      </c>
    </row>
    <row r="45">
      <c r="B45" s="454" t="inlineStr">
        <is>
          <t>佐賀</t>
        </is>
      </c>
      <c r="C45" s="476" t="n">
        <v>1030</v>
      </c>
      <c r="D45" s="454" t="inlineStr">
        <is>
          <t>/</t>
        </is>
      </c>
      <c r="E45" s="454">
        <f>B45&amp;D45&amp;C45&amp;F45</f>
        <v/>
      </c>
      <c r="F45" s="454" t="inlineStr">
        <is>
          <t>円</t>
        </is>
      </c>
    </row>
    <row r="46">
      <c r="B46" s="454" t="inlineStr">
        <is>
          <t>長崎</t>
        </is>
      </c>
      <c r="C46" s="476" t="n">
        <v>1031</v>
      </c>
      <c r="D46" s="454" t="inlineStr">
        <is>
          <t>/</t>
        </is>
      </c>
      <c r="E46" s="454">
        <f>B46&amp;D46&amp;C46&amp;F46</f>
        <v/>
      </c>
      <c r="F46" s="454" t="inlineStr">
        <is>
          <t>円</t>
        </is>
      </c>
    </row>
    <row r="47">
      <c r="B47" s="454" t="inlineStr">
        <is>
          <t>熊本</t>
        </is>
      </c>
      <c r="C47" s="476" t="n">
        <v>1034</v>
      </c>
      <c r="D47" s="454" t="inlineStr">
        <is>
          <t>/</t>
        </is>
      </c>
      <c r="E47" s="454">
        <f>B47&amp;D47&amp;C47&amp;F47</f>
        <v/>
      </c>
      <c r="F47" s="454" t="inlineStr">
        <is>
          <t>円</t>
        </is>
      </c>
    </row>
    <row r="48">
      <c r="B48" s="454" t="inlineStr">
        <is>
          <t>大分</t>
        </is>
      </c>
      <c r="C48" s="476" t="n">
        <v>1035</v>
      </c>
      <c r="D48" s="454" t="inlineStr">
        <is>
          <t>/</t>
        </is>
      </c>
      <c r="E48" s="454">
        <f>B48&amp;D48&amp;C48&amp;F48</f>
        <v/>
      </c>
      <c r="F48" s="454" t="inlineStr">
        <is>
          <t>円</t>
        </is>
      </c>
    </row>
    <row r="49">
      <c r="B49" s="454" t="inlineStr">
        <is>
          <t>宮崎</t>
        </is>
      </c>
      <c r="C49" s="476" t="n">
        <v>1023</v>
      </c>
      <c r="D49" s="454" t="inlineStr">
        <is>
          <t>/</t>
        </is>
      </c>
      <c r="E49" s="454">
        <f>B49&amp;D49&amp;C49&amp;F49</f>
        <v/>
      </c>
      <c r="F49" s="454" t="inlineStr">
        <is>
          <t>円</t>
        </is>
      </c>
    </row>
    <row r="50">
      <c r="B50" s="454" t="inlineStr">
        <is>
          <t>鹿児島</t>
        </is>
      </c>
      <c r="C50" s="476" t="n">
        <v>1026</v>
      </c>
      <c r="D50" s="454" t="inlineStr">
        <is>
          <t>/</t>
        </is>
      </c>
      <c r="E50" s="454">
        <f>B50&amp;D50&amp;C50&amp;F50</f>
        <v/>
      </c>
      <c r="F50" s="454" t="inlineStr">
        <is>
          <t>円</t>
        </is>
      </c>
    </row>
    <row r="51">
      <c r="B51" s="454" t="inlineStr">
        <is>
          <t>沖縄</t>
        </is>
      </c>
      <c r="C51" s="476" t="n">
        <v>1023</v>
      </c>
      <c r="D51" s="454" t="inlineStr">
        <is>
          <t>/</t>
        </is>
      </c>
      <c r="E51" s="454">
        <f>B51&amp;D51&amp;C51&amp;F51</f>
        <v/>
      </c>
      <c r="F51" s="454" t="inlineStr">
        <is>
          <t>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2026-04-06T02:39:10Z</dcterms:created>
  <dcterms:modified xmlns:dcterms="http://purl.org/dc/terms/" xmlns:xsi="http://www.w3.org/2001/XMLSchema-instance" xsi:type="dcterms:W3CDTF">2026-07-09T11:56:44Z</dcterms:modified>
</cp:coreProperties>
</file>