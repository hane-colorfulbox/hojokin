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北海道/1075円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青森/1029円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岩手/1031円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宮城/1038円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秋田/1031円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山形/1032円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福島/1033円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茨城/1074円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栃木/1068円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群馬/1063円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埼玉/1141円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千葉/1140円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東京/1226円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神奈川/1225円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新潟/1050円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富山/1062円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石川/1054円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福井/1053円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山梨/1052円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長野/1061円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岐阜/1065円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静岡/1097円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愛知/1140円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三重/1087円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滋賀/1080円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京都/1122円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大阪/1177円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兵庫/1116円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奈良/1051円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和歌山/1045円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鳥取/1030円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島根/1033円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岡山/1047円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広島/1085円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山口/1043円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徳島/1046円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香川/1036円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愛媛/1033円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高知/1023円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福岡/1057円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佐賀/1030円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長崎/1031円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熊本/1034円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大分/1035円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宮崎/1023円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鹿児島/1026円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沖縄/1023円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inlineStr">
        <is>
          <t>⚠️セカンドオピニオンの面談は完了していますか？
　加点希望で面談未実施の場合、提出はしないでください⚠️</t>
        </is>
      </c>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s="430">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s="430">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s="430">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s="430">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s="430">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s="430">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s="4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s="430">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s="430">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s="430">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s="430">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s="430">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s="43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s="430">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s="430">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s="430">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s="430">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s="430">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s="430">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s="430">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s="430">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s="430">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s="430">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s="430">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s="430">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s="430">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s="430">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s="43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s="430">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s="430">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s="430">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s="430">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s="430">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s="430">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s="430">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s="43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s="430">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s="430">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s="430">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s="430">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s="430">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s="430">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s="430">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s="430">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s="430">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s="43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s="430">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s="430">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s="430">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s="430">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s="430">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s="430">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s="430">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s="430">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s="430">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s="43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s="430">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s="430">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s="430">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s="430">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s="430">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s="430">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s="430">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s="430">
      <c r="B108" s="0" t="inlineStr">
        <is>
          <t>役員（8）役職</t>
        </is>
      </c>
    </row>
    <row r="109" s="430">
      <c r="B109" s="0" t="inlineStr">
        <is>
          <t>役員（8）氏名</t>
        </is>
      </c>
    </row>
    <row r="110" s="430">
      <c r="B110" s="0" t="inlineStr">
        <is>
          <t>役員（8）氏名フリガナ</t>
        </is>
      </c>
    </row>
    <row r="111" s="430">
      <c r="B111" s="0" t="inlineStr">
        <is>
          <t>役員（9）役職</t>
        </is>
      </c>
    </row>
    <row r="112" s="430">
      <c r="B112" s="0" t="inlineStr">
        <is>
          <t>役員（9）氏名</t>
        </is>
      </c>
    </row>
    <row r="113" s="430">
      <c r="B113" s="0" t="inlineStr">
        <is>
          <t>役員（9）氏名フリガナ</t>
        </is>
      </c>
    </row>
    <row r="114" s="430">
      <c r="B114" s="0" t="inlineStr">
        <is>
          <t>役員（10）役職</t>
        </is>
      </c>
      <c r="D114" s="0" t="inlineStr">
        <is>
          <t>https://positive-ryouritsu.mhlw.go.jp/search/search_res</t>
        </is>
      </c>
    </row>
    <row r="115" s="430">
      <c r="B115" s="0" t="inlineStr">
        <is>
          <t>役員（10）氏名</t>
        </is>
      </c>
      <c r="D115" s="0" t="inlineStr">
        <is>
          <t>https://positive-ryouritsu.mhlw.go.jp/search/search_res</t>
        </is>
      </c>
    </row>
    <row r="116" s="430">
      <c r="B116" s="0" t="inlineStr">
        <is>
          <t>役員（10）氏名フリガナ</t>
        </is>
      </c>
    </row>
    <row r="117"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s="430">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s="430">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s="430">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ht="9" customHeight="1" s="430">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25.5"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s="430">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6"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ht="9" customHeight="1" s="430">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ht="25.5" customHeight="1" s="430">
      <c r="A133" s="216" t="n"/>
      <c r="B133" s="470" t="inlineStr">
        <is>
          <t>『  次へ  』</t>
        </is>
      </c>
      <c r="C133" s="0" t="inlineStr">
        <is>
          <t>をクリック</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s="430">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6"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ht="28.5" customHeight="1" s="430">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ht="9" customHeight="1" s="430">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25.5"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s="430">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s="430">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ht="6" customHeight="1" s="430">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s="430">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ht="9" customHeight="1" s="430">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ht="25.5" customHeight="1" s="430">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s="430">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s="430">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ht="6" customHeight="1" s="430">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s="43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s="430">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s="430">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s="430">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s="430">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s="430">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s="430">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s="43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s="430">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s="430">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ht="9" customHeight="1" s="430">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ht="25.5" customHeight="1" s="430">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s="430">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s="430">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ht="6" customHeight="1" s="430">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s="430">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
□事業の拡大に積極的
□事業の維持に注力
□事業の売却・整備・廃業を考えている
□特に意識したことは無い</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s="430">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s="43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s="430">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s="430">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s="430">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s="430">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s="430">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s="430">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s="430">
      <c r="A179" s="145" t="n"/>
      <c r="B179" s="236" t="inlineStr">
        <is>
          <t>補助金を利用してもっとも改善したい業務プロセス最も期待するものに１つチェック</t>
        </is>
      </c>
      <c r="C179" s="247" t="n"/>
      <c r="D179" s="248" t="inlineStr">
        <is>
          <t>申請ツールの内容に合わせてプルダウンを選択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s="430">
      <c r="A180" s="145" t="n"/>
      <c r="B180" s="236" t="inlineStr">
        <is>
          <t>今回の補助金の利用によって強化したい部門・部署・業務内容はどれですか（期待効果）</t>
        </is>
      </c>
      <c r="D180" t="inlineStr">
        <is>
          <t>申請ツールの内容に合わせてプルダウンを選択</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s="430">
      <c r="A181" s="145" t="n"/>
      <c r="B181" s="236" t="inlineStr">
        <is>
          <t>今回の補助金の利用によってどんな効果を期待しますか（期待効果）</t>
        </is>
      </c>
      <c r="C181" s="247" t="n"/>
      <c r="D181" s="248" t="inlineStr">
        <is>
          <t>申請ツールの内容に合わせてプルダウンを選択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s="430">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
□事業の拡大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s="430">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ht="9" customHeight="1" s="430">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25.5"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s="430">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s="430">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ht="6" customHeight="1" s="43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6"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s="430">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6"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s="430">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ht="6" customHeight="1" s="430">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s="430">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6"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ht="25.5" customHeight="1" s="430">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s="430">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75.75"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s="430">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ht="6" customHeight="1" s="430">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s="430">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ht="6" customHeight="1" s="430">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ht="25.5" customHeight="1" s="430">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s="43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s="430">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s="430">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ht="22.5" customHeight="1" s="430">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s="430">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s="430">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s="430">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s="430">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s="430">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s="430">
      <c r="A220" s="194" t="n"/>
      <c r="B220" s="281" t="inlineStr">
        <is>
          <t>⇨年平均成長率：上記4点記入後、「年平均成長率計算」をクリック（申請画面上で3.0％以上であることを確認）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ht="6" customHeight="1" s="430">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s="430">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s="430">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s="430">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s="430">
      <c r="A225" s="282" t="n"/>
      <c r="B225" s="270" t="inlineStr">
        <is>
          <t>表明を行った日付
※ダブルクリックでカレンダー表示</t>
        </is>
      </c>
      <c r="D225" t="inlineStr">
        <is>
          <t>申請日より前の日付を設定（シート作成日）</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s="430">
      <c r="A227" s="216" t="n"/>
      <c r="B227" s="284" t="inlineStr">
        <is>
          <t>給与担当者</t>
        </is>
      </c>
      <c r="C227" s="0">
        <f>'転記'!B85</f>
        <v/>
      </c>
      <c r="D227" t="inlineStr">
        <is>
          <t>経理・給与担当の方が不在の時は、役員も可
 ※漢字フルネーム</t>
        </is>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ht="6" customHeight="1" s="430">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s="430">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s="430">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s="430">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s="430">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s="430">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ht="6" customHeight="1" s="430">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s="430">
      <c r="A240" s="140" t="n"/>
      <c r="B240" s="474" t="inlineStr">
        <is>
          <t>ファイル添付</t>
        </is>
      </c>
      <c r="C240" s="0" t="inlineStr">
        <is>
          <t>HPから様式「賃金状況報告シート（加点措置②用）」をDL
必要事項を入力のうえ、提出</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s="430">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6"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s="430">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ht="6" customHeight="1" s="430">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25.5"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s="430">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6"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s="430">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ht="6" customHeight="1" s="430">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ht="25.5" customHeight="1" s="430">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s="430">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s="430">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ht="6" customHeight="1" s="430">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s="430">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ht="6" customHeight="1" s="430">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ht="25.5" customHeight="1" s="430">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s="43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s="430">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s="430">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s="430">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s="430">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s="430">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s="430">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s="430">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s="430">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s="430">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s="43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s="430">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s="430">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s="430">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s="430">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s="430">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s="430">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s="430">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s="430">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s="430">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s="43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s="430">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s="430">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s="430">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s="430">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s="430">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s="430">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s="430">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s="430">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s="430">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s="43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s="430">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s="430">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s="430">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s="430">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s="430">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s="430">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s="430">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s="430">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s="430">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s="43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s="430">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s="430">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s="430">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s="430">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s="430">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s="430">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s="430">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s="430">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s="430">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s="43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s="430">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s="430">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s="430">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s="430">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s="430">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s="430">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s="430">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s="430">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s="430">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s="43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s="430">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s="430">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s="430">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s="430">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s="430">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s="430">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s="430">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s="430">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s="430">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s="4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s="430">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s="430">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s="430">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s="430">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s="430">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s="430">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s="430">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s="430">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s="430">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s="43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s="430">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s="430">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s="430">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s="430">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s="430">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s="430">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s="430">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s="430">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s="430">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s="43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s="430">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s="430">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s="430">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s="430">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s="430">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s="430">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s="430">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s="430">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s="430">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s="43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s="430">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s="430">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s="430">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s="430">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s="430">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s="430">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s="430">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s="430">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s="430">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s="43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s="430">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s="430">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s="430">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s="430">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s="430">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s="430">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s="430">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s="430">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s="430">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s="43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s="430">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s="430">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s="430">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s="430">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s="430">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s="430">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s="430">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s="430">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s="430">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s="43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s="430">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s="430">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s="430">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s="430">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s="430">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s="430">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s="430">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s="430">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s="430">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s="43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s="430">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s="430">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s="430">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s="430">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s="430">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s="430">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s="430">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s="430">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s="430">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s="43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s="430">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s="430">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s="430">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s="430">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s="430">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s="430">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s="430">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s="430">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s="430">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s="43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s="430">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s="430">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s="430">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s="430">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s="430">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s="430">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s="430">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s="430">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s="430">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s="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s="430">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s="430">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s="430">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s="430">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s="430">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s="430">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s="430">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s="430">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s="430">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s="43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s="430">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s="430">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s="430">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s="430">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s="430">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s="430">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s="430">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s="430">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s="430">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s="43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s="430">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s="430">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s="430">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s="430">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s="430">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s="430">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s="430">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s="430">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s="430">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s="43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s="430">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s="430">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s="430">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s="430">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s="430">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s="430">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s="430">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s="430">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s="430">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s="43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s="430">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s="430">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s="430">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s="430">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s="430">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s="430">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s="430">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s="430">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s="430">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s="43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s="430">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s="430">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s="430">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s="430">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s="430">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s="430">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s="430">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s="430">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s="430">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s="43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s="430">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s="430">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s="430">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s="430">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s="430">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s="430">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s="430">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s="430">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s="430">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s="43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s="430">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s="430">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s="430">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s="430">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s="430">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s="430">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s="430">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s="430">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s="430">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s="43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s="430">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s="430">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s="430">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s="430">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s="430">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s="430">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s="430">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s="430">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s="430">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s="43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s="430">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s="430">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s="430">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s="430">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s="430">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s="430">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s="430">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s="430">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s="430">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s="4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s="430">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s="430">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s="430">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s="430">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s="430">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s="430">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s="430">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s="430">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s="430">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s="43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s="430">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s="430">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s="430">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s="430">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s="430">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s="430">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s="430">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s="430">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s="430">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s="43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s="430">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s="430">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s="430">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s="430">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s="430">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s="430">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s="430">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s="430">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s="430">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s="43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s="430">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s="430">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s="430">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s="430">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s="430">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s="430">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s="430">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s="430">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s="430">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s="43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s="430">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s="430">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s="430">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s="430">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s="430">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s="430">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s="430">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s="430">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s="430">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s="43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s="430">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s="430">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s="430">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s="430">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s="430">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s="430">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s="430">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s="430">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s="430">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s="43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s="430">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s="430">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s="430">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s="430">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s="430">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s="430">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s="430">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s="430">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s="430">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s="43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s="430">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s="430">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s="430">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s="430">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s="430">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s="430">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s="430">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s="430">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s="430">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s="43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s="430">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s="430">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s="430">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s="430">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s="430">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s="430">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s="430">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s="430">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s="430">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s="43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s="430">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s="430">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s="430">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s="430">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s="430">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s="430">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s="430">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s="430">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s="430">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s="4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s="430">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s="430">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s="430">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s="430">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s="430">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s="430">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s="430">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s="430">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s="430">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s="43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s="430">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s="430">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s="430">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s="430">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s="430">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s="430">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s="430">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s="430">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s="430">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s="43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s="430">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s="430">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s="430">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s="430">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s="430">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s="430">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s="430">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s="430">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s="430">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s="43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s="430">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s="430">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s="430">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s="430">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s="430">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s="430">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s="430">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s="430">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s="430">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s="43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s="430">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s="430">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s="430">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s="430">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s="430">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s="430">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s="430">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s="430">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s="430">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s="43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s="430">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s="430">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s="430">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s="430">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s="430">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s="430">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s="430">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s="430">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s="430">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s="43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s="430">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s="430">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s="430">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s="430">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s="430">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s="430">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s="430">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s="430">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s="430">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s="43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s="430">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s="430">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s="430">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s="430">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s="430">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s="430">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s="430">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s="430">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s="430">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s="43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s="430">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s="430">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s="430">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s="430">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s="430">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s="430">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s="430">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s="430">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s="430">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s="43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s="430">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s="430">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s="430">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s="430">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s="430">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s="430">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s="430">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s="430">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s="430">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s="4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s="430">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s="430">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s="430">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s="430">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s="430">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s="430">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s="430">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s="430">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s="430">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s="43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s="430">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s="430">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s="430">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s="430">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s="430">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s="430">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s="430">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s="430">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s="430">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s="43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s="430">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s="430">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s="430">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s="430">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s="430">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s="430">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s="430">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s="430">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s="430">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s="43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s="430">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s="430">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s="430">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s="430">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s="430">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s="430">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s="430">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s="430">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s="430">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s="43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s="430">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s="430">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s="430">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s="430">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s="430">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s="430">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s="430">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s="430">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s="430">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s="43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s="430">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s="430">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s="430">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s="430">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s="430">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s="430">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s="430">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s="430">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s="430">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s="43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s="430">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s="430">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s="430">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s="430">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s="430">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s="430">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s="430">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s="430">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s="430">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s="43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s="430">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s="430">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s="430">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s="430">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s="430">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s="430">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s="430">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s="430">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s="430">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s="43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s="430">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s="430">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s="430">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s="430">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s="430">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s="430">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s="430">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s="430">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s="430">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s="43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s="430">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s="430">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s="430">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s="430">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s="430">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s="430">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s="430">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s="430">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s="430">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s="4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s="430">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s="430">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s="430">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s="430">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s="430">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s="430">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s="430">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s="430">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s="430">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s="43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s="430">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s="430">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s="430">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s="430">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s="430">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s="430">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s="430">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s="430">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s="430">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s="43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s="430">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s="430">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s="430">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s="430">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s="430">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s="430">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s="430">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s="430">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s="430">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s="43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s="430">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s="430">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s="430">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s="430">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s="430">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s="430">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s="430">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s="430">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s="430">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s="43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s="430">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s="430">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s="430">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s="430">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s="430">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s="430">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s="430">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s="430">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s="430">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s="43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s="430">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s="430">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s="430">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s="430">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s="430">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s="430">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s="430">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s="430">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s="430">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s="43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s="430">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s="430">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s="430">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s="430">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s="430">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s="430">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s="430">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s="430">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s="430">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s="43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s="430">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s="430">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s="430">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s="430">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s="430">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s="430">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s="430">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s="430">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s="430">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s="43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s="430">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s="430">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s="430">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s="430">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s="430">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s="430">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s="430">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s="430">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s="430">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s="43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s="430">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s="430">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s="430">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s="430">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s="430">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s="430">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s="430">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s="430">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s="430">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s="4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s="430">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s="430">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s="430">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s="430">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s="430">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s="430">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s="430">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s="430">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s="430">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s="43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s="430">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s="430">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s="430">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s="430">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s="430">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s="430">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s="430">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s="430">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s="430">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s="43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s="430">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s="430">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s="430">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s="430">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s="430">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s="430">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s="430">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s="430">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s="430">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s="43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s="430">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s="430">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s="430">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s="430">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s="430">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s="430">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s="430">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s="430">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s="430">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s="43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s="430">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s="430">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s="430">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s="430">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s="430">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s="430">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s="430">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s="430">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s="430">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s="43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s="430">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s="430">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s="430">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s="430">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s="430">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s="430">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s="430">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s="430">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s="430">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s="43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s="430">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s="430">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s="430">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s="430">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s="430">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s="430">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s="430">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s="430">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s="430">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s="43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s="430">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s="430">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s="430">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s="430">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s="430">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s="430">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s="430">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s="430">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s="430">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s="43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s="430">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s="430">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s="430">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s="430">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s="430">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s="430">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s="430">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s="430">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s="430">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s="43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s="430">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s="430">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s="430">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s="430">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s="430">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s="430">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s="430">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s="430">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s="430">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s="4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s="430">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s="430">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s="430">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s="430">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s="430">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s="430">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s="430">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s="430">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s="430">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s="43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s="430">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s="430">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s="430">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s="430">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s="430">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s="430">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s="430">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s="430">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s="430">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s="43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s="430">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s="430">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s="430">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s="430">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s="430">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s="430">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s="430">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s="430">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s="430">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s="43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s="430">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s="430">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s="430">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s="430">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s="430">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s="430">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s="430">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s="430">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s="430">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s="43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s="430">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s="430">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s="430">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s="430">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s="430">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s="430">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s="430">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s="430">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s="430">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s="43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s="430">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s="430">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s="430">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s="430">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s="430">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s="430">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s="430">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s="430">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s="430">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s="43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s="430">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s="430">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s="430">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s="430">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s="430">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s="430">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s="430">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s="430">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s="430">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s="43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s="430">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s="430">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s="430">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s="430">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s="430">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s="430">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s="430">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s="430">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s="430">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s="43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s="430">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s="430">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s="430">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s="430">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s="430">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s="430">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s="430">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s="430">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s="430">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s="43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s="430">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s="430">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s="430">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s="430">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s="430">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s="430">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s="430">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s="430">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s="430">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s="4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s="430">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s="430">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s="430">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s="430">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s="430">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s="430">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s="430">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s="430">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s="430">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s="43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s="430">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s="430">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s="430">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s="430">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s="430">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s="430">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s="430">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s="430">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s="430">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s="43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s="430">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s="430">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s="430">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s="430">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s="430">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s="430">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s="430">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4">
    <mergeCell ref="C16:E16"/>
    <mergeCell ref="B40:E40"/>
    <mergeCell ref="B14:D14"/>
    <mergeCell ref="B49:E49"/>
    <mergeCell ref="B8:D8"/>
    <mergeCell ref="B6:E6"/>
    <mergeCell ref="D147:D153"/>
    <mergeCell ref="B139:E139"/>
    <mergeCell ref="B33:E33"/>
    <mergeCell ref="B24:E24"/>
    <mergeCell ref="B5:E5"/>
    <mergeCell ref="B126:E126"/>
    <mergeCell ref="B233:E233"/>
    <mergeCell ref="D182:D188"/>
    <mergeCell ref="B190:E190"/>
    <mergeCell ref="B202:E202"/>
    <mergeCell ref="B15:B16"/>
    <mergeCell ref="B31:E31"/>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13" showDropDown="0" showInputMessage="0" showErrorMessage="1" allowBlank="1" type="list">
      <formula1>'プルダウン用'!$B$2:$B$48</formula1>
    </dataValidation>
    <dataValidation sqref="C180" showDropDown="0" showInputMessage="0" showErrorMessage="1" allowBlank="1" type="list">
      <formula1>'プルダウン用'!$J$2:$J$12</formula1>
    </dataValidation>
    <dataValidation sqref="C124" showDropDown="0" showInputMessage="0" showErrorMessage="1" allowBlank="1" type="list">
      <formula1>"くるみん認定,プラチナくるみん認定, トライくるみん認定 ,認定なし"</formula1>
    </dataValidation>
    <dataValidation sqref="C125 C137" showDropDown="0" showInputMessage="0" showErrorMessage="1" allowBlank="1" type="list">
      <formula1>"実施している,実施していない"</formula1>
    </dataValidation>
    <dataValidation sqref="C123" showDropDown="0" showInputMessage="0" showErrorMessage="1" allowBlank="1" type="list">
      <formula1>"えるぼし認定,プラチナえるぼし,認定なし"</formula1>
    </dataValidation>
    <dataValidation sqref="C179"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72" showDropDown="0" showInputMessage="0" showErrorMessage="1" allowBlank="1" type="list">
      <formula1>'プルダウン用'!$F$2:$F$13</formula1>
    </dataValidation>
    <dataValidation sqref="C181" showDropDown="0" showInputMessage="0" showErrorMessage="1" allowBlank="1" type="list">
      <formula1>'プルダウン用'!$K$2:$K$12</formula1>
    </dataValidation>
    <dataValidation sqref="C170" showDropDown="0" showInputMessage="0" showErrorMessage="1" allowBlank="1" type="list">
      <formula1>'プルダウン用'!$E$2:$E$16</formula1>
    </dataValidation>
    <dataValidation sqref="C177" showDropDown="0" showInputMessage="0" showErrorMessage="1" allowBlank="1" type="list">
      <formula1>'プルダウン用'!$G$2:$G$12</formula1>
    </dataValidation>
    <dataValidation sqref="C122" showDropDown="0" showInputMessage="0" showErrorMessage="1" allowBlank="1" type="list">
      <formula1>"あり,なし"</formula1>
    </dataValidation>
    <dataValidation sqref="C144" showDropDown="0" showInputMessage="0" showErrorMessage="1" allowBlank="1" type="list">
      <formula1>'プルダウン用'!$C$2:$C$20</formula1>
    </dataValidation>
    <dataValidation sqref="C56:C57 C225" showDropDown="1" showInputMessage="0" showErrorMessage="0" allowBlank="1" type="custom">
      <formula1>OR(NOT(ISERROR(DATEVALUE(C56))), AND(ISNUMBER(C56), LEFT(CELL("format", C56))="D"))</formula1>
    </dataValidation>
    <dataValidation sqref="C223 C232"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E11</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1">
    <dataValidation sqref="D3:D7" showDropDown="0" showInputMessage="0" showErrorMessage="0"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inlineStr">
        <is>
          <t>カラフルボックスコンソーシアム</t>
        </is>
      </c>
      <c r="B3" s="417" t="inlineStr">
        <is>
          <t>貿易クラウド_利用料</t>
        </is>
      </c>
      <c r="C3" s="418" t="inlineStr">
        <is>
          <t>DL06-0000792-001</t>
        </is>
      </c>
      <c r="D3" s="327" t="n"/>
      <c r="E3" s="417" t="inlineStr">
        <is>
          <t>貿易001</t>
        </is>
      </c>
      <c r="F3" s="463" t="n">
        <v>600000</v>
      </c>
      <c r="G3" s="463" t="n">
        <v>3000000</v>
      </c>
      <c r="H3" s="417" t="inlineStr">
        <is>
          <t>目標管理クラウドcbox_ベーシック</t>
        </is>
      </c>
    </row>
    <row r="4">
      <c r="A4" s="416" t="inlineStr">
        <is>
          <t>カラフルボックスコンソーシアム</t>
        </is>
      </c>
      <c r="B4" s="417" t="inlineStr">
        <is>
          <t>カンリル_利用料</t>
        </is>
      </c>
      <c r="C4" s="418" t="inlineStr">
        <is>
          <t>DL06-0029228-001</t>
        </is>
      </c>
      <c r="D4" s="327" t="n"/>
      <c r="E4" s="417" t="inlineStr">
        <is>
          <t>カンリル001</t>
        </is>
      </c>
      <c r="F4" s="463" t="n">
        <v>32509</v>
      </c>
      <c r="G4" s="463" t="n">
        <v>325091</v>
      </c>
      <c r="H4" s="420" t="inlineStr">
        <is>
          <t>目標管理クラウドcbox_スタンダード</t>
        </is>
      </c>
    </row>
    <row r="5">
      <c r="A5" s="416" t="inlineStr">
        <is>
          <t>カラフルボックスコンソーシアム</t>
        </is>
      </c>
      <c r="B5" s="417" t="inlineStr">
        <is>
          <t>社長メシ_スタンダードプラン</t>
        </is>
      </c>
      <c r="C5" s="418" t="inlineStr">
        <is>
          <t>DL06-0029652-001</t>
        </is>
      </c>
      <c r="D5" s="327" t="n"/>
      <c r="E5" s="417" t="inlineStr">
        <is>
          <t>社長メシ001</t>
        </is>
      </c>
      <c r="F5" s="463" t="n">
        <v>1500000</v>
      </c>
      <c r="G5" s="463" t="n">
        <v>1500000</v>
      </c>
      <c r="H5" s="417" t="inlineStr">
        <is>
          <t>目標管理クラウドcbox_プレミアム</t>
        </is>
      </c>
    </row>
    <row r="6">
      <c r="A6" s="416" t="inlineStr">
        <is>
          <t>カラフルボックスコンソーシアム</t>
        </is>
      </c>
      <c r="B6" s="417" t="inlineStr">
        <is>
          <t>せきなび_スタンダード</t>
        </is>
      </c>
      <c r="C6" s="418" t="inlineStr">
        <is>
          <t>DL06-0002760-001</t>
        </is>
      </c>
      <c r="D6" s="327" t="n"/>
      <c r="E6" s="417" t="inlineStr">
        <is>
          <t>seknavi01</t>
        </is>
      </c>
      <c r="F6" s="463" t="n">
        <v>300000</v>
      </c>
      <c r="G6" s="463" t="n">
        <v>360000</v>
      </c>
      <c r="H6" s="420" t="inlineStr">
        <is>
          <t>目標管理クラウドcbox_ベーシック_初期設定</t>
        </is>
      </c>
    </row>
    <row r="7">
      <c r="A7" s="416" t="inlineStr">
        <is>
          <t>カラフルボックスコンソーシアム</t>
        </is>
      </c>
      <c r="B7" s="417" t="inlineStr">
        <is>
          <t>カンリル_導入・活用コンサルティング</t>
        </is>
      </c>
      <c r="C7" s="418" t="inlineStr">
        <is>
          <t>DL07-0001708</t>
        </is>
      </c>
      <c r="D7" s="327" t="n"/>
      <c r="E7" s="417" t="inlineStr">
        <is>
          <t>カンリル003</t>
        </is>
      </c>
      <c r="F7" s="463" t="n">
        <v>20000</v>
      </c>
      <c r="G7" s="463" t="n">
        <v>150000</v>
      </c>
      <c r="H7" s="417" t="inlineStr">
        <is>
          <t>目標管理クラウドcbox_ベーシック_保守・サポート</t>
        </is>
      </c>
    </row>
    <row r="8">
      <c r="A8" s="416" t="inlineStr">
        <is>
          <t>カラフルボックスコンソーシアム</t>
        </is>
      </c>
      <c r="B8" s="417" t="inlineStr">
        <is>
          <t>カンリル_初期設定</t>
        </is>
      </c>
      <c r="C8" s="418" t="inlineStr">
        <is>
          <t>DL07-0001738</t>
        </is>
      </c>
      <c r="D8" s="327" t="n"/>
      <c r="E8" s="417" t="inlineStr">
        <is>
          <t>カンリル002</t>
        </is>
      </c>
      <c r="F8" s="463" t="n">
        <v>50000</v>
      </c>
      <c r="G8" s="463" t="n">
        <v>150000</v>
      </c>
      <c r="H8" s="420" t="inlineStr">
        <is>
          <t>目標管理クラウドcbox_導入・活用コンサルティング</t>
        </is>
      </c>
    </row>
    <row r="9">
      <c r="A9" s="416" t="inlineStr">
        <is>
          <t>カラフルボックスコンソーシアム</t>
        </is>
      </c>
      <c r="B9" s="417" t="inlineStr">
        <is>
          <t>Scale人事評価_スタンダードプラン</t>
        </is>
      </c>
      <c r="C9" s="418" t="inlineStr">
        <is>
          <t>DL07-0002412</t>
        </is>
      </c>
      <c r="D9" s="327" t="n"/>
      <c r="E9" s="417" t="inlineStr">
        <is>
          <t>Scale001</t>
        </is>
      </c>
      <c r="F9" s="463" t="n">
        <v>1920</v>
      </c>
      <c r="G9" s="463" t="n">
        <v>12000</v>
      </c>
      <c r="H9" s="417" t="inlineStr">
        <is>
          <t>目標管理クラウドcbox_スタンダード_初期設定</t>
        </is>
      </c>
    </row>
    <row r="10">
      <c r="A10" s="416" t="inlineStr">
        <is>
          <t>カラフルボックスコンソーシアム</t>
        </is>
      </c>
      <c r="B10" s="417" t="inlineStr">
        <is>
          <t>AI Works_保守・サポート</t>
        </is>
      </c>
      <c r="C10" s="418" t="inlineStr">
        <is>
          <t>DL07-0001726</t>
        </is>
      </c>
      <c r="D10" s="327" t="n"/>
      <c r="E10" s="417" t="inlineStr">
        <is>
          <t>AIWorks005</t>
        </is>
      </c>
      <c r="F10" s="463" t="n">
        <v>120000</v>
      </c>
      <c r="G10" s="463" t="n">
        <v>600000</v>
      </c>
      <c r="H10" s="420" t="inlineStr">
        <is>
          <t>目標管理クラウドcbox_スタンダード_保守・サポート</t>
        </is>
      </c>
    </row>
    <row r="11">
      <c r="A11" s="416" t="inlineStr">
        <is>
          <t>カラフルボックスコンソーシアム</t>
        </is>
      </c>
      <c r="B11" s="417" t="inlineStr">
        <is>
          <t>AI Works_利用料</t>
        </is>
      </c>
      <c r="C11" s="418" t="inlineStr">
        <is>
          <t>DL06-0001191-001</t>
        </is>
      </c>
      <c r="D11" s="327" t="n"/>
      <c r="E11" s="417" t="inlineStr">
        <is>
          <t>AIWorks001</t>
        </is>
      </c>
      <c r="F11" s="463" t="n">
        <v>120000</v>
      </c>
      <c r="G11" s="463" t="n">
        <v>360000</v>
      </c>
      <c r="H11" s="417" t="inlineStr">
        <is>
          <t>目標管理クラウドcbox_プレミアム_初期設定</t>
        </is>
      </c>
    </row>
    <row r="12">
      <c r="A12" s="416" t="inlineStr">
        <is>
          <t>カラフルボックスコンソーシアム</t>
        </is>
      </c>
      <c r="B12" s="417" t="inlineStr">
        <is>
          <t>カンリル_保守サポート</t>
        </is>
      </c>
      <c r="C12" s="418" t="inlineStr">
        <is>
          <t>DL07-0001733</t>
        </is>
      </c>
      <c r="D12" s="327" t="n"/>
      <c r="E12" s="417" t="inlineStr">
        <is>
          <t>カンリル004</t>
        </is>
      </c>
      <c r="F12" s="463" t="n">
        <v>60000</v>
      </c>
      <c r="G12" s="463" t="n">
        <v>125000</v>
      </c>
      <c r="H12" s="420" t="inlineStr">
        <is>
          <t>目標管理クラウドcbox_プレミアム_保守・サポート</t>
        </is>
      </c>
    </row>
    <row r="13">
      <c r="A13" s="416" t="inlineStr">
        <is>
          <t>カラフルボックスコンソーシアム</t>
        </is>
      </c>
      <c r="B13" s="417" t="inlineStr">
        <is>
          <t>freee会計_スタータープラン</t>
        </is>
      </c>
      <c r="C13" s="418" t="inlineStr">
        <is>
          <t>DL07-0007357</t>
        </is>
      </c>
      <c r="D13" s="327" t="n"/>
      <c r="E13" s="417" t="inlineStr">
        <is>
          <t>freee会計001</t>
        </is>
      </c>
      <c r="F13" s="463" t="n">
        <v>65760</v>
      </c>
      <c r="G13" s="463" t="n">
        <v>65760</v>
      </c>
      <c r="H13" s="417" t="inlineStr">
        <is>
          <t>貿易クラウド_利用料</t>
        </is>
      </c>
    </row>
    <row r="14">
      <c r="A14" s="416" t="inlineStr">
        <is>
          <t>カラフルボックスコンソーシアム</t>
        </is>
      </c>
      <c r="B14" s="417" t="inlineStr">
        <is>
          <t>Scale人事評価スタンダードプラン_初期設定</t>
        </is>
      </c>
      <c r="C14" s="418" t="inlineStr">
        <is>
          <t>DL07-0020657</t>
        </is>
      </c>
      <c r="D14" s="327" t="n"/>
      <c r="E14" s="417" t="inlineStr">
        <is>
          <t>Scale002</t>
        </is>
      </c>
      <c r="F14" s="463" t="n">
        <v>80000</v>
      </c>
      <c r="G14" s="463" t="n">
        <v>160000</v>
      </c>
      <c r="H14" s="420" t="inlineStr">
        <is>
          <t>AI Works_利用料</t>
        </is>
      </c>
    </row>
    <row r="15">
      <c r="A15" s="416" t="inlineStr">
        <is>
          <t>カラフルボックスコンソーシアム</t>
        </is>
      </c>
      <c r="B15" s="417" t="inlineStr">
        <is>
          <t>AI Works_初期設定</t>
        </is>
      </c>
      <c r="C15" s="418" t="inlineStr">
        <is>
          <t>DL07-0003894</t>
        </is>
      </c>
      <c r="D15" s="327" t="n"/>
      <c r="E15" s="417" t="inlineStr">
        <is>
          <t>AIWorks003</t>
        </is>
      </c>
      <c r="F15" s="463" t="n">
        <v>10000</v>
      </c>
      <c r="G15" s="463" t="n">
        <v>200000</v>
      </c>
      <c r="H15" s="417" t="inlineStr">
        <is>
          <t>AI Works_利用料_初期設定</t>
        </is>
      </c>
    </row>
    <row r="16">
      <c r="A16" s="416" t="inlineStr">
        <is>
          <t>カラフルボックスコンソーシアム</t>
        </is>
      </c>
      <c r="B16" s="417" t="inlineStr">
        <is>
          <t>PCセキュリティみまもりパック</t>
        </is>
      </c>
      <c r="C16" s="418" t="inlineStr">
        <is>
          <t>DL07-0002804</t>
        </is>
      </c>
      <c r="D16" s="327" t="n"/>
      <c r="E16" s="417" t="inlineStr">
        <is>
          <t>pcsecurity</t>
        </is>
      </c>
      <c r="F16" s="463" t="n"/>
      <c r="G16" s="463" t="n"/>
      <c r="H16" s="420" t="inlineStr">
        <is>
          <t>AI Works_利用料_保守・サポート</t>
        </is>
      </c>
    </row>
    <row r="17">
      <c r="A17" s="416" t="inlineStr">
        <is>
          <t>カラフルボックスコンソーシアム</t>
        </is>
      </c>
      <c r="B17" s="417" t="inlineStr">
        <is>
          <t>Scale人事評価_導入・活用コンサルティング</t>
        </is>
      </c>
      <c r="C17" s="418" t="inlineStr">
        <is>
          <t>DL07-0020659</t>
        </is>
      </c>
      <c r="D17" s="327" t="n"/>
      <c r="E17" s="417" t="inlineStr">
        <is>
          <t>Scale003</t>
        </is>
      </c>
      <c r="F17" s="463" t="n">
        <v>300000</v>
      </c>
      <c r="G17" s="463" t="n">
        <v>900000</v>
      </c>
      <c r="H17" s="417" t="inlineStr">
        <is>
          <t>AI Works_導入活用コンサルティング</t>
        </is>
      </c>
    </row>
    <row r="18">
      <c r="A18" s="416" t="inlineStr">
        <is>
          <t>カラフルボックスコンソーシアム</t>
        </is>
      </c>
      <c r="B18" s="417" t="inlineStr">
        <is>
          <t>AI Works_導入活用コンサルティング</t>
        </is>
      </c>
      <c r="C18" s="418" t="inlineStr">
        <is>
          <t>DL07-0003887</t>
        </is>
      </c>
      <c r="D18" s="327" t="n"/>
      <c r="E18" s="417" t="inlineStr">
        <is>
          <t>AIWorks002</t>
        </is>
      </c>
      <c r="F18" s="463" t="n">
        <v>100000</v>
      </c>
      <c r="G18" s="463" t="n">
        <v>450000</v>
      </c>
      <c r="H18" s="420" t="inlineStr">
        <is>
          <t>LINE公式アカウント_ライトプラン</t>
        </is>
      </c>
    </row>
    <row r="19">
      <c r="A19" s="416" t="inlineStr">
        <is>
          <t>カラフルボックスコンソーシアム</t>
        </is>
      </c>
      <c r="B19" s="417" t="inlineStr">
        <is>
          <t>Scale人事評価スタンダードプラン_保守サポート</t>
        </is>
      </c>
      <c r="C19" s="418" t="inlineStr">
        <is>
          <t>DL07-0020660</t>
        </is>
      </c>
      <c r="D19" s="327" t="n"/>
      <c r="E19" s="417" t="inlineStr">
        <is>
          <t>Scale004</t>
        </is>
      </c>
      <c r="F19" s="463" t="n">
        <v>120000</v>
      </c>
      <c r="G19" s="463" t="n">
        <v>480000</v>
      </c>
      <c r="H19" s="417" t="inlineStr">
        <is>
          <t>LINE公式アカウント_スタンダードプラン</t>
        </is>
      </c>
    </row>
    <row r="20">
      <c r="A20" s="416" t="inlineStr">
        <is>
          <t>クラフトバンク</t>
        </is>
      </c>
      <c r="B20" s="417" t="inlineStr">
        <is>
          <t>クラフトバンクオフィス プロフェッショナルプラン</t>
        </is>
      </c>
      <c r="C20" s="418" t="inlineStr">
        <is>
          <t>DL04-0029552-004</t>
        </is>
      </c>
      <c r="D20" s="327" t="n"/>
      <c r="E20" s="417" t="inlineStr">
        <is>
          <t>クラフトバンクオフィス プロフェッショナルプラン</t>
        </is>
      </c>
      <c r="F20" s="463" t="n">
        <v>1080000</v>
      </c>
      <c r="G20" s="463" t="n">
        <v>2160000</v>
      </c>
      <c r="H20" s="420" t="inlineStr">
        <is>
          <t>Lステップ_スタートプラン</t>
        </is>
      </c>
    </row>
    <row r="21">
      <c r="A21" s="416" t="inlineStr">
        <is>
          <t>クラフトバンク</t>
        </is>
      </c>
      <c r="B21" s="417" t="inlineStr">
        <is>
          <t>クラフトバンクオフィス エンタープライズプラン</t>
        </is>
      </c>
      <c r="C21" s="418" t="inlineStr">
        <is>
          <t>DL04-0029554-004</t>
        </is>
      </c>
      <c r="D21" s="327" t="n"/>
      <c r="E21" s="417" t="inlineStr">
        <is>
          <t>クラフトバンクオフィス エンタープライズプラン</t>
        </is>
      </c>
      <c r="F21" s="463" t="n">
        <v>1350000</v>
      </c>
      <c r="G21" s="463" t="n">
        <v>2700000</v>
      </c>
      <c r="H21" s="417" t="inlineStr">
        <is>
          <t>Lステップ_スタンダードプラン</t>
        </is>
      </c>
    </row>
    <row r="22">
      <c r="A22" s="416" t="inlineStr">
        <is>
          <t>クラフトバンク</t>
        </is>
      </c>
      <c r="B22" s="417" t="inlineStr">
        <is>
          <t>導入コンサルティング活用コンサルティング（クラフトバンクオフィス スタンダードプラン）</t>
        </is>
      </c>
      <c r="C22" s="418" t="inlineStr">
        <is>
          <t>DL07-0000180</t>
        </is>
      </c>
      <c r="D22" s="327" t="n"/>
      <c r="E22" s="417" t="inlineStr">
        <is>
          <t>導入コンサルティング活用コンサルティング（クラフトバンクオフィス スタンダードプラン）</t>
        </is>
      </c>
      <c r="F22" s="463" t="n">
        <v>600000</v>
      </c>
      <c r="G22" s="463" t="n">
        <v>1205000</v>
      </c>
      <c r="H22" s="420" t="inlineStr">
        <is>
          <t>Lステップ_プロプラン</t>
        </is>
      </c>
    </row>
    <row r="23">
      <c r="A23" s="416" t="inlineStr">
        <is>
          <t>クラフトバンク</t>
        </is>
      </c>
      <c r="B23" s="417" t="inlineStr">
        <is>
          <t>導入コンサルティング（クラフトバンクオフィス プロフェッショナルプラン）</t>
        </is>
      </c>
      <c r="C23" s="418" t="inlineStr">
        <is>
          <t>DL07-0000059</t>
        </is>
      </c>
      <c r="D23" s="327" t="n"/>
      <c r="E23" s="417" t="inlineStr">
        <is>
          <t>導入コンサルティング（クラフトバンクオフィス プロフェッショナルプラン）</t>
        </is>
      </c>
      <c r="F23" s="463" t="n">
        <v>800000</v>
      </c>
      <c r="G23" s="463" t="n">
        <v>1600000</v>
      </c>
      <c r="H23" s="417" t="inlineStr">
        <is>
          <t>UTAGE_ライトプラン</t>
        </is>
      </c>
    </row>
    <row r="24">
      <c r="A24" s="416" t="inlineStr">
        <is>
          <t>クラフトバンク</t>
        </is>
      </c>
      <c r="B24" s="417" t="inlineStr">
        <is>
          <t>クラフトバンクオフィス スタンダードプラン</t>
        </is>
      </c>
      <c r="C24" s="418" t="inlineStr">
        <is>
          <t>DL04-0029553-003</t>
        </is>
      </c>
      <c r="D24" s="327" t="n"/>
      <c r="E24" s="417" t="inlineStr">
        <is>
          <t>クラフトバンクオフィス スタンダードプラン</t>
        </is>
      </c>
      <c r="F24" s="463" t="n">
        <v>600000</v>
      </c>
      <c r="G24" s="463" t="n">
        <v>1200000</v>
      </c>
      <c r="H24" s="420" t="inlineStr">
        <is>
          <t>UTAGE_スタンダードプラン</t>
        </is>
      </c>
    </row>
    <row r="25">
      <c r="A25" s="416" t="inlineStr">
        <is>
          <t>クラフトバンク</t>
        </is>
      </c>
      <c r="B25" s="417" t="inlineStr">
        <is>
          <t>導入コンサルティング（クラフトバンクオフィス スタンダードプラン）</t>
        </is>
      </c>
      <c r="C25" s="418" t="inlineStr">
        <is>
          <t>DL07-0000025</t>
        </is>
      </c>
      <c r="D25" s="327" t="n"/>
      <c r="E25" s="417" t="inlineStr">
        <is>
          <t>導入コンサルティング（クラフトバンクオフィス スタンダードプラン）</t>
        </is>
      </c>
      <c r="F25" s="463" t="n">
        <v>400000</v>
      </c>
      <c r="G25" s="463" t="n">
        <v>800000</v>
      </c>
      <c r="H25" s="417" t="inlineStr">
        <is>
          <t>せきなび_スタンダード</t>
        </is>
      </c>
    </row>
    <row r="26">
      <c r="A26" s="416" t="inlineStr">
        <is>
          <t>クラフトバンク</t>
        </is>
      </c>
      <c r="B26" s="417" t="inlineStr">
        <is>
          <t>初期設定（クラフトバンクオフィス プロフェッショナルプラン）</t>
        </is>
      </c>
      <c r="C26" s="418" t="inlineStr">
        <is>
          <t>DL07-0000070</t>
        </is>
      </c>
      <c r="D26" s="327" t="n"/>
      <c r="E26" s="417" t="inlineStr">
        <is>
          <t>初期設定（クラフトバンクオフィス プロフェッショナルプラン）</t>
        </is>
      </c>
      <c r="F26" s="463" t="n">
        <v>1200000</v>
      </c>
      <c r="G26" s="463" t="n">
        <v>1800000</v>
      </c>
      <c r="H26" s="420" t="inlineStr">
        <is>
          <t>CRS人材募集管理システム_ベーシック</t>
        </is>
      </c>
    </row>
    <row r="27">
      <c r="A27" s="416" t="inlineStr">
        <is>
          <t>クラフトバンク</t>
        </is>
      </c>
      <c r="B27" s="417" t="inlineStr">
        <is>
          <t>初期設定（クラフトバンクオフィス スタンダードプラン）</t>
        </is>
      </c>
      <c r="C27" s="418" t="inlineStr">
        <is>
          <t>DL07-0000036</t>
        </is>
      </c>
      <c r="D27" s="327" t="n"/>
      <c r="E27" s="417" t="inlineStr">
        <is>
          <t>初期設定（クラフトバンクオフィス スタンダードプラン）</t>
        </is>
      </c>
      <c r="F27" s="463" t="n">
        <v>600000</v>
      </c>
      <c r="G27" s="463" t="n">
        <v>1200000</v>
      </c>
      <c r="H27" s="417" t="inlineStr">
        <is>
          <t>CRS人材募集管理システム_ベーシック_初期導入</t>
        </is>
      </c>
    </row>
    <row r="28">
      <c r="A28" s="416" t="inlineStr">
        <is>
          <t>クラフトバンク</t>
        </is>
      </c>
      <c r="B28" s="417" t="inlineStr">
        <is>
          <t>導入コンサルティング活用コンサルティング（クラフトバンクオフィス プロフェッショナルプラン</t>
        </is>
      </c>
      <c r="C28" s="418" t="inlineStr">
        <is>
          <t>DL07-0001646</t>
        </is>
      </c>
      <c r="D28" s="327" t="n"/>
      <c r="E28" s="417" t="inlineStr">
        <is>
          <t>導入コンサルティング活用コンサルティング（クラフトバンクオフィス プロフェッショナルプラン</t>
        </is>
      </c>
      <c r="F28" s="463" t="n">
        <v>1000000</v>
      </c>
      <c r="G28" s="463" t="n">
        <v>1805000</v>
      </c>
      <c r="H28" s="420" t="inlineStr">
        <is>
          <t>CRS人材募集管理システム_ベーシック_保守・サポート</t>
        </is>
      </c>
    </row>
    <row r="29">
      <c r="A29" s="416" t="inlineStr">
        <is>
          <t>クラフトバンク</t>
        </is>
      </c>
      <c r="B29" s="417" t="inlineStr">
        <is>
          <t>導入コンサルティング活用コンサルティング（プロフェッショナルプラン）</t>
        </is>
      </c>
      <c r="C29" s="418" t="inlineStr">
        <is>
          <t>DL07-0004098</t>
        </is>
      </c>
      <c r="D29" s="327" t="n"/>
      <c r="E29" s="417" t="inlineStr">
        <is>
          <t>導入コンサルティング活用コンサルティング（プロフェッショナルプラン）</t>
        </is>
      </c>
      <c r="F29" s="463" t="n">
        <v>1000000</v>
      </c>
      <c r="G29" s="463" t="n">
        <v>1920000</v>
      </c>
      <c r="H29" s="327" t="n"/>
    </row>
    <row r="30">
      <c r="A30" s="416" t="inlineStr">
        <is>
          <t>ピスケス</t>
        </is>
      </c>
      <c r="B30" s="417" t="inlineStr">
        <is>
          <t>着信ポップアップCTI</t>
        </is>
      </c>
      <c r="C30" s="418" t="inlineStr">
        <is>
          <t>DL06-0034655-001</t>
        </is>
      </c>
      <c r="D30" s="327" t="n"/>
      <c r="E30" s="417" t="inlineStr">
        <is>
          <t>PSA003</t>
        </is>
      </c>
      <c r="F30" s="463" t="n">
        <v>108000</v>
      </c>
      <c r="G30" s="463" t="n">
        <v>120000</v>
      </c>
      <c r="H30" s="327" t="n"/>
    </row>
    <row r="31">
      <c r="A31" s="416" t="inlineStr">
        <is>
          <t>ピスケス</t>
        </is>
      </c>
      <c r="B31" s="417" t="inlineStr">
        <is>
          <t>LINEコネクト</t>
        </is>
      </c>
      <c r="C31" s="418" t="inlineStr">
        <is>
          <t>DL06-0033682-001</t>
        </is>
      </c>
      <c r="D31" s="327" t="n"/>
      <c r="E31" s="417" t="inlineStr">
        <is>
          <t>PLINE</t>
        </is>
      </c>
      <c r="F31" s="463" t="n">
        <v>64000</v>
      </c>
      <c r="G31" s="463" t="n">
        <v>80000</v>
      </c>
      <c r="H31" s="327" t="n"/>
    </row>
    <row r="32">
      <c r="A32" s="416" t="inlineStr">
        <is>
          <t>ピスケス</t>
        </is>
      </c>
      <c r="B32" s="417" t="inlineStr">
        <is>
          <t>ピスケスアポ</t>
        </is>
      </c>
      <c r="C32" s="418" t="inlineStr">
        <is>
          <t>DL05-0024072-002</t>
        </is>
      </c>
      <c r="D32" s="327" t="n"/>
      <c r="E32" s="417" t="inlineStr">
        <is>
          <t>piscesapo2024</t>
        </is>
      </c>
      <c r="F32" s="463" t="n">
        <v>408000</v>
      </c>
      <c r="G32" s="463" t="n">
        <v>480000</v>
      </c>
      <c r="H32" s="327" t="n"/>
    </row>
    <row r="33">
      <c r="A33" s="416" t="inlineStr">
        <is>
          <t>ピスケス</t>
        </is>
      </c>
      <c r="B33" s="417" t="inlineStr">
        <is>
          <t>SMS</t>
        </is>
      </c>
      <c r="C33" s="418" t="inlineStr">
        <is>
          <t>DL06-0034634-001</t>
        </is>
      </c>
      <c r="D33" s="327" t="n"/>
      <c r="E33" s="417" t="inlineStr">
        <is>
          <t>PKA002</t>
        </is>
      </c>
      <c r="F33" s="463" t="n">
        <v>64000</v>
      </c>
      <c r="G33" s="463" t="n">
        <v>80000</v>
      </c>
      <c r="H33" s="327" t="n"/>
    </row>
    <row r="34">
      <c r="A34" s="416" t="inlineStr">
        <is>
          <t>いろはな</t>
        </is>
      </c>
      <c r="B34" s="417" t="inlineStr">
        <is>
          <t>irohana study スモール</t>
        </is>
      </c>
      <c r="C34" s="418" t="inlineStr">
        <is>
          <t>DL07-0024780</t>
        </is>
      </c>
      <c r="D34" s="327" t="n"/>
      <c r="E34" s="417" t="inlineStr">
        <is>
          <t>study_s</t>
        </is>
      </c>
      <c r="F34" s="463" t="n">
        <v>237600</v>
      </c>
      <c r="G34" s="463" t="n">
        <v>357600</v>
      </c>
      <c r="H34" s="327" t="n"/>
    </row>
    <row r="35">
      <c r="A35" s="416" t="inlineStr">
        <is>
          <t>いろはな</t>
        </is>
      </c>
      <c r="B35" s="417" t="inlineStr">
        <is>
          <t>irohana visa スモール</t>
        </is>
      </c>
      <c r="C35" s="418" t="inlineStr">
        <is>
          <t>DL07-0014825</t>
        </is>
      </c>
      <c r="D35" s="327" t="n"/>
      <c r="E35" s="417" t="inlineStr">
        <is>
          <t>visa_s</t>
        </is>
      </c>
      <c r="F35" s="463" t="n">
        <v>357600</v>
      </c>
      <c r="G35" s="463" t="n">
        <v>357600</v>
      </c>
      <c r="H35" s="327" t="n"/>
    </row>
    <row r="36">
      <c r="A36" s="416" t="inlineStr">
        <is>
          <t>いろはな</t>
        </is>
      </c>
      <c r="B36" s="417" t="inlineStr">
        <is>
          <t>irohana study スタンダード</t>
        </is>
      </c>
      <c r="C36" s="418" t="inlineStr">
        <is>
          <t>DL07-0024781</t>
        </is>
      </c>
      <c r="D36" s="327" t="n"/>
      <c r="E36" s="417" t="inlineStr">
        <is>
          <t>study_m</t>
        </is>
      </c>
      <c r="F36" s="463" t="n">
        <v>357600</v>
      </c>
      <c r="G36" s="463" t="n">
        <v>477600</v>
      </c>
      <c r="H36" s="327" t="n"/>
    </row>
    <row r="37">
      <c r="A37" s="416" t="inlineStr">
        <is>
          <t>いろはな</t>
        </is>
      </c>
      <c r="B37" s="417" t="inlineStr">
        <is>
          <t>irohana 導入コンサルティング等</t>
        </is>
      </c>
      <c r="C37" s="418" t="inlineStr">
        <is>
          <t>DL07-0019039</t>
        </is>
      </c>
      <c r="D37" s="327" t="n"/>
      <c r="E37" s="417" t="inlineStr">
        <is>
          <t>導入コンサルティング等</t>
        </is>
      </c>
      <c r="F37" s="463" t="n">
        <v>200000</v>
      </c>
      <c r="G37" s="463" t="n">
        <v>200000</v>
      </c>
      <c r="H37" s="327" t="n"/>
    </row>
    <row r="38">
      <c r="A38" s="416" t="inlineStr">
        <is>
          <t>いろはな</t>
        </is>
      </c>
      <c r="B38" s="417" t="inlineStr">
        <is>
          <t>irohana visa ラージ</t>
        </is>
      </c>
      <c r="C38" s="418" t="inlineStr">
        <is>
          <t>DL07-0019031</t>
        </is>
      </c>
      <c r="D38" s="327" t="n"/>
      <c r="E38" s="417" t="inlineStr">
        <is>
          <t>visa_l</t>
        </is>
      </c>
      <c r="F38" s="463" t="n">
        <v>597600</v>
      </c>
      <c r="G38" s="463" t="n">
        <v>597600</v>
      </c>
      <c r="H38" s="327" t="n"/>
    </row>
    <row r="39">
      <c r="A39" s="416" t="inlineStr">
        <is>
          <t>いろはな</t>
        </is>
      </c>
      <c r="B39" s="417" t="inlineStr">
        <is>
          <t>irohana visa スモール導入設定等</t>
        </is>
      </c>
      <c r="C39" s="418" t="inlineStr">
        <is>
          <t>DL07-0019034</t>
        </is>
      </c>
      <c r="D39" s="327" t="n"/>
      <c r="E39" s="417" t="inlineStr">
        <is>
          <t>導入設定等_visa_s</t>
        </is>
      </c>
      <c r="F39" s="463" t="n">
        <v>50000</v>
      </c>
      <c r="G39" s="463" t="n">
        <v>150000</v>
      </c>
      <c r="H39" s="327" t="n"/>
    </row>
    <row r="40">
      <c r="A40" s="416" t="inlineStr">
        <is>
          <t>いろはな</t>
        </is>
      </c>
      <c r="B40" s="417" t="inlineStr">
        <is>
          <t>irohana visa ラージ導入設定等</t>
        </is>
      </c>
      <c r="C40" s="418" t="inlineStr">
        <is>
          <t>DL07-0020470</t>
        </is>
      </c>
      <c r="D40" s="327" t="n"/>
      <c r="E40" s="417" t="inlineStr">
        <is>
          <t>導入設定等_visa_l</t>
        </is>
      </c>
      <c r="F40" s="463" t="n">
        <v>50000</v>
      </c>
      <c r="G40" s="463" t="n">
        <v>150000</v>
      </c>
      <c r="H40" s="327" t="n"/>
    </row>
    <row r="41">
      <c r="A41" s="416" t="inlineStr">
        <is>
          <t>いろはな</t>
        </is>
      </c>
      <c r="B41" s="417" t="inlineStr">
        <is>
          <t>irohana study ラージ</t>
        </is>
      </c>
      <c r="C41" s="418" t="inlineStr">
        <is>
          <t>DL07-0027397</t>
        </is>
      </c>
      <c r="D41" s="327" t="n"/>
      <c r="E41" s="417" t="inlineStr">
        <is>
          <t>study_l</t>
        </is>
      </c>
      <c r="F41" s="463" t="n">
        <v>657600</v>
      </c>
      <c r="G41" s="463" t="n">
        <v>777600</v>
      </c>
      <c r="H41" s="327" t="n"/>
    </row>
    <row r="42">
      <c r="A42" s="416" t="inlineStr">
        <is>
          <t>いろはな</t>
        </is>
      </c>
      <c r="B42" s="417" t="inlineStr">
        <is>
          <t>irohana visa スタンダード導入設定等</t>
        </is>
      </c>
      <c r="C42" s="418" t="inlineStr">
        <is>
          <t>DL07-0020466</t>
        </is>
      </c>
      <c r="D42" s="327" t="n"/>
      <c r="E42" s="417" t="inlineStr">
        <is>
          <t>導入設定等_visa_m</t>
        </is>
      </c>
      <c r="F42" s="463" t="n">
        <v>50000</v>
      </c>
      <c r="G42" s="463" t="n">
        <v>150000</v>
      </c>
      <c r="H42" s="327" t="n"/>
    </row>
    <row r="43">
      <c r="A43" s="416" t="inlineStr">
        <is>
          <t>いろはな</t>
        </is>
      </c>
      <c r="B43" s="417" t="inlineStr">
        <is>
          <t>irohana visa スタンダード</t>
        </is>
      </c>
      <c r="C43" s="418" t="inlineStr">
        <is>
          <t>DL07-0019029</t>
        </is>
      </c>
      <c r="D43" s="327" t="n"/>
      <c r="E43" s="417" t="inlineStr">
        <is>
          <t>visa_m</t>
        </is>
      </c>
      <c r="F43" s="463" t="n">
        <v>477600</v>
      </c>
      <c r="G43" s="463" t="n">
        <v>477600</v>
      </c>
      <c r="H43" s="327" t="n"/>
    </row>
    <row r="44">
      <c r="A44" s="416" t="inlineStr">
        <is>
          <t>いろはな</t>
        </is>
      </c>
      <c r="B44" s="417" t="inlineStr">
        <is>
          <t>irohana study スタンダード導入設定等</t>
        </is>
      </c>
      <c r="C44" s="418" t="inlineStr">
        <is>
          <t>DL07-0028061</t>
        </is>
      </c>
      <c r="D44" s="327" t="n"/>
      <c r="E44" s="417" t="inlineStr">
        <is>
          <t>導入設定等_study_m</t>
        </is>
      </c>
      <c r="F44" s="463" t="n">
        <v>50000</v>
      </c>
      <c r="G44" s="463" t="n">
        <v>150000</v>
      </c>
      <c r="H44" s="327" t="n"/>
    </row>
    <row r="45">
      <c r="A45" s="416" t="inlineStr">
        <is>
          <t>いろはな</t>
        </is>
      </c>
      <c r="B45" s="417" t="inlineStr">
        <is>
          <t>irohana study スモール導入設定等</t>
        </is>
      </c>
      <c r="C45" s="418" t="inlineStr">
        <is>
          <t>DL07-0028059</t>
        </is>
      </c>
      <c r="D45" s="327" t="n"/>
      <c r="E45" s="417" t="inlineStr">
        <is>
          <t>導入設定等_study_s</t>
        </is>
      </c>
      <c r="F45" s="463" t="n">
        <v>50000</v>
      </c>
      <c r="G45" s="463" t="n">
        <v>150000</v>
      </c>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2026-07-28T01:47:46Z</dcterms:modified>
</cp:coreProperties>
</file>