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転記" sheetId="1" state="visible" r:id="rId1"/>
    <sheet name="プルダウン用" sheetId="2" state="hidden" r:id="rId2"/>
    <sheet name="申請内容" sheetId="3" state="visible" r:id="rId3"/>
    <sheet name="生産性指標給与支給総額計算" sheetId="4" state="visible" r:id="rId4"/>
    <sheet name="申請金額" sheetId="5" state="visible" r:id="rId5"/>
    <sheet name="小規模事業者確認" sheetId="6" state="visible" r:id="rId6"/>
    <sheet name="分類表" sheetId="7" state="hidden" r:id="rId7"/>
    <sheet name="商品マスタ" sheetId="8" state="hidden" r:id="rId8"/>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3">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s>
  <borders count="6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s>
  <cellStyleXfs count="1">
    <xf numFmtId="0" fontId="0" fillId="0" borderId="0"/>
  </cellStyleXfs>
  <cellXfs count="470">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applyAlignment="1" pivotButton="0" quotePrefix="0" xfId="0">
      <alignment/>
    </xf>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applyAlignment="1" pivotButton="0" quotePrefix="0" xfId="0">
      <alignment/>
    </xf>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applyAlignment="1" pivotButton="0" quotePrefix="0" xfId="0">
      <alignment/>
    </xf>
    <xf numFmtId="0" fontId="8" fillId="0" borderId="2" pivotButton="0" quotePrefix="0" xfId="0"/>
    <xf numFmtId="0" fontId="9" fillId="0" borderId="0" applyAlignment="1" pivotButton="0" quotePrefix="0" xfId="0">
      <alignment/>
    </xf>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applyAlignment="1" pivotButton="0" quotePrefix="0" xfId="0">
      <alignment/>
    </xf>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applyAlignment="1" pivotButton="0" quotePrefix="0" xfId="0">
      <alignment/>
    </xf>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6</col>
      <colOff>171450</colOff>
      <row>2</row>
      <rowOff>190500</rowOff>
    </from>
    <ext cx="1905000" cy="828675"/>
    <pic>
      <nvPicPr>
        <cNvPr id="0" name="image1.png" title="画像"/>
        <cNvPicPr preferRelativeResize="0"/>
      </nvPicPr>
      <blipFill>
        <a:blip cstate="print" r:embed="rId1"/>
        <a:stretch>
          <a:fillRect/>
        </a:stretch>
      </blipFill>
      <spPr>
        <a:prstGeom prst="rect">
          <avLst/>
        </a:prstGeom>
        <a:noFill/>
        <a:l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 /><Relationship Type="http://schemas.openxmlformats.org/officeDocument/2006/relationships/hyperlink" Target="https://drive.google.com/file/d/1zgd5D9crG5BHn49TjvwByKffx6PFEI_x/view?usp=drive_link" TargetMode="External" Id="rId2" /><Relationship Type="http://schemas.openxmlformats.org/officeDocument/2006/relationships/hyperlink" Target="https://drive.google.com/file/d/1U19obnxWULZUN7VeANje03PNWVzKoa5o/view?usp=drive_link" TargetMode="External" Id="rId3" /><Relationship Type="http://schemas.openxmlformats.org/officeDocument/2006/relationships/hyperlink" Target="https://drive.google.com/file/d/1_wGQDsMRlhQ_WQeNdxVbkkImlvCRWokQ/view?usp=sharing" TargetMode="External" Id="rId4" /><Relationship Type="http://schemas.openxmlformats.org/officeDocument/2006/relationships/hyperlink" Target="https://mirasapo-connect.go.jp/chusho-subsidies" TargetMode="External" Id="rId5" /><Relationship Type="http://schemas.openxmlformats.org/officeDocument/2006/relationships/hyperlink" Target="https://docs.google.com/spreadsheets/d/1QZmV5oqwdLW4fMnkt-Js6_VNC8C1Vqtk/edit?usp=sharing&amp;ouid=100944583635423381492&amp;rtpof=true&amp;sd=true" TargetMode="External" Id="rId6" /><Relationship Type="http://schemas.openxmlformats.org/officeDocument/2006/relationships/hyperlink" Target="https://colorfulbox.notion.site/217b18ce5fff804d967fd0fa4a90b6d3" TargetMode="External" Id="rId7" /><Relationship Type="http://schemas.openxmlformats.org/officeDocument/2006/relationships/hyperlink" Target="https://it-shien.smrj.go.jp/pdf/it2026_chingin_houkoku1_hojyoritsu_katen.xlsx" TargetMode="External" Id="rId8" /><Relationship Type="http://schemas.openxmlformats.org/officeDocument/2006/relationships/hyperlink" Target="https://www.e-stat.go.jp/classifications/terms/10" TargetMode="External" Id="rId9" /><Relationship Type="http://schemas.openxmlformats.org/officeDocument/2006/relationships/hyperlink" Target="https://docs.google.com/spreadsheets/d/11w72Xlc4YpgzMt9VZFIltIN78Tvj1lLL/edit?usp=drive_link&amp;ouid=100944583635423381492&amp;rtpof=true&amp;sd=true%22" TargetMode="External" Id="rId10" /><Relationship Type="http://schemas.openxmlformats.org/officeDocument/2006/relationships/hyperlink" Target="https://positive-ryouritsu.mhlw.go.jp/search/search_res" TargetMode="External" Id="rId11" /><Relationship Type="http://schemas.openxmlformats.org/officeDocument/2006/relationships/hyperlink" Target="https://positive-ryouritsu.mhlw.go.jp/search/search_res" TargetMode="External" Id="rId12" /><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 /><Relationship Type="http://schemas.openxmlformats.org/officeDocument/2006/relationships/hyperlink" Target="https://www.mhlw.go.jp/content/11200000/001557915.pdf" TargetMode="External" Id="rId14" /><Relationship Type="http://schemas.openxmlformats.org/officeDocument/2006/relationships/hyperlink" Target="https://it-shien.smrj.go.jp/pdf/it2026_chingin_houkoku2_katen.xlsx" TargetMode="External" Id="rId15"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9" t="n"/>
    </row>
    <row r="6">
      <c r="A6" s="10" t="inlineStr">
        <is>
          <t>GビズID</t>
        </is>
      </c>
      <c r="B6" s="11" t="n"/>
      <c r="C6" s="36" t="n"/>
    </row>
    <row r="7">
      <c r="A7" s="17" t="n"/>
      <c r="B7" s="42" t="n"/>
      <c r="C7" s="9" t="n"/>
    </row>
    <row r="8">
      <c r="A8" s="13" t="inlineStr">
        <is>
          <t>企業名</t>
        </is>
      </c>
      <c r="B8" s="14" t="n"/>
      <c r="C8" s="36" t="n"/>
    </row>
    <row r="9">
      <c r="A9" s="57" t="n"/>
      <c r="B9" s="57" t="n"/>
      <c r="C9" s="47" t="n"/>
    </row>
    <row r="10">
      <c r="A10" s="13" t="inlineStr">
        <is>
          <t>企業名（フリガナ）</t>
        </is>
      </c>
      <c r="B10" s="14" t="n"/>
      <c r="C10" s="36" t="n"/>
    </row>
    <row r="11">
      <c r="A11" s="17" t="n"/>
      <c r="B11" s="42" t="n"/>
      <c r="C11" s="9" t="n"/>
    </row>
    <row r="12">
      <c r="A12" s="13" t="inlineStr">
        <is>
          <t>店舗事業所数</t>
        </is>
      </c>
      <c r="B12" s="19" t="n"/>
      <c r="C12" s="36" t="n"/>
    </row>
    <row r="13">
      <c r="A13" s="17" t="n"/>
      <c r="B13" s="42" t="n"/>
      <c r="C13" s="9" t="n"/>
    </row>
    <row r="14">
      <c r="A14" s="13" t="inlineStr">
        <is>
          <t>事業者URL</t>
        </is>
      </c>
      <c r="B14" s="20" t="n"/>
      <c r="C14" s="21"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9" t="n"/>
    </row>
    <row r="27">
      <c r="A27" s="13" t="inlineStr">
        <is>
          <t>代表電話番号</t>
        </is>
      </c>
      <c r="B27" s="14" t="n"/>
      <c r="C27" s="36" t="n"/>
    </row>
    <row r="28">
      <c r="A28" s="17" t="n"/>
      <c r="B28" s="42" t="n"/>
      <c r="C28" s="9" t="n"/>
    </row>
    <row r="29">
      <c r="A29" s="13" t="inlineStr">
        <is>
          <t>担当者氏名</t>
        </is>
      </c>
      <c r="B29" s="14" t="n"/>
      <c r="C29" s="36" t="n"/>
    </row>
    <row r="30">
      <c r="A30" s="17" t="n"/>
      <c r="B30" s="42" t="n"/>
      <c r="C30" s="9" t="n"/>
    </row>
    <row r="31">
      <c r="A31" s="13" t="inlineStr">
        <is>
          <t>担当者氏名フリガナ</t>
        </is>
      </c>
      <c r="B31" s="14" t="n"/>
      <c r="C31" s="36" t="n"/>
    </row>
    <row r="32">
      <c r="A32" s="17" t="n"/>
      <c r="B32" s="42" t="n"/>
      <c r="C32" s="9" t="n"/>
    </row>
    <row r="33">
      <c r="A33" s="13" t="inlineStr">
        <is>
          <t>担当者メールアドレス</t>
        </is>
      </c>
      <c r="B33" s="20" t="n"/>
      <c r="C33" s="29" t="n"/>
    </row>
    <row r="34">
      <c r="A34" s="17" t="n"/>
      <c r="B34" s="42" t="n"/>
      <c r="C34" s="9" t="n"/>
    </row>
    <row r="35">
      <c r="A35" s="13" t="inlineStr">
        <is>
          <t>担当者電話番号</t>
        </is>
      </c>
      <c r="B35" s="14" t="n"/>
      <c r="C35" s="36" t="n"/>
    </row>
    <row r="36">
      <c r="A36" s="17" t="n"/>
      <c r="B36" s="42" t="n"/>
      <c r="C36" s="9" t="n"/>
    </row>
    <row r="37">
      <c r="A37" s="13" t="inlineStr">
        <is>
          <t>担当者携帯番号</t>
        </is>
      </c>
      <c r="B37" s="14" t="n"/>
      <c r="C37" s="36" t="n"/>
    </row>
    <row r="38">
      <c r="A38" s="17" t="n"/>
      <c r="B38" s="42" t="n"/>
      <c r="C38" s="9"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9" t="n"/>
    </row>
    <row r="47">
      <c r="A47" s="13" t="inlineStr">
        <is>
          <t>従業員数：その他</t>
        </is>
      </c>
      <c r="B47" s="14" t="n"/>
      <c r="C47" s="36" t="n"/>
    </row>
    <row r="48">
      <c r="A48" s="17" t="n"/>
      <c r="B48" s="42" t="n"/>
      <c r="C48" s="9"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9" t="n"/>
    </row>
    <row r="88">
      <c r="A88" s="42" t="n"/>
      <c r="B88" s="42" t="n"/>
      <c r="C88" s="9"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北海道/1010円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青森県/953円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岩手県/952円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宮城県/973円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秋田県/951円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山形県/955円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福島県/955円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茨城県/1005円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栃木県/1004円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群馬県/985円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埼玉県/1078円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千葉県/1076円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東京都/1163円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神奈川県/1162円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新潟県/985円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富山県/998円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石川県/984円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福井県/984円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山梨県/988円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長野県/998円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岐阜県/1001円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静岡県/1034円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愛知県/1077円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三重県/1023円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滋賀県/1017円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京都府/1058円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大阪府/1114円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兵庫県/1052円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奈良県/986円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和歌山県/980円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鳥取県/957円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島根県/962円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岡山県/982円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広島県/1020円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山口県/979円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徳島県/980円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香川県/970円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愛媛県/956円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高知県/952円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福岡県/992円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佐賀県/956円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長崎県/953円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熊本県/952円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大分県/954円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宮崎県/952円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鹿児島県/953円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沖縄県/952円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n"/>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inlineStr">
        <is>
          <t>scale</t>
        </is>
      </c>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c r="B108" t="inlineStr">
        <is>
          <t>役員（8）役職</t>
        </is>
      </c>
    </row>
    <row r="109">
      <c r="B109" t="inlineStr">
        <is>
          <t>役員（8）氏名</t>
        </is>
      </c>
    </row>
    <row r="110">
      <c r="B110" t="inlineStr">
        <is>
          <t>役員（8）氏名フリガナ</t>
        </is>
      </c>
    </row>
    <row r="111">
      <c r="B111" t="inlineStr">
        <is>
          <t>役員（9）役職</t>
        </is>
      </c>
    </row>
    <row r="112">
      <c r="B112" t="inlineStr">
        <is>
          <t>役員（9）氏名</t>
        </is>
      </c>
    </row>
    <row r="113">
      <c r="B113" t="inlineStr">
        <is>
          <t>役員（9）氏名フリガナ</t>
        </is>
      </c>
    </row>
    <row r="114">
      <c r="B114" t="inlineStr">
        <is>
          <t>役員（10）役職</t>
        </is>
      </c>
    </row>
    <row r="115">
      <c r="B115" t="inlineStr">
        <is>
          <t>役員（10）氏名</t>
        </is>
      </c>
    </row>
    <row r="116">
      <c r="B116" t="inlineStr">
        <is>
          <t>役員（10）氏名フリガナ</t>
        </is>
      </c>
    </row>
    <row r="117" ht="9" customHeight="1"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ht="25.5" customHeight="1"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c r="A120" s="145" t="n"/>
      <c r="B120" s="233" t="inlineStr">
        <is>
          <t>従業員数：派遣社員</t>
        </is>
      </c>
      <c r="C120" s="164">
        <f>'転記'!B45</f>
        <v/>
      </c>
      <c r="D120" s="233" t="inlineStr">
        <is>
          <t>申請時の人数</t>
        </is>
      </c>
      <c r="E120" s="204"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ht="6" customHeight="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ht="9" customHeight="1"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ht="25.5" customHeight="1"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c r="A126" s="216" t="n"/>
      <c r="B126" s="210" t="n"/>
      <c r="C126" s="211" t="n"/>
      <c r="D126" s="212" t="n"/>
      <c r="E126" s="211"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6"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ht="28.5" customHeight="1"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9"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ht="25.5" customHeight="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c r="A133" s="216" t="n"/>
      <c r="B133" s="301" t="inlineStr">
        <is>
          <t>『  次へ  』</t>
        </is>
      </c>
      <c r="C133" s="142" t="inlineStr">
        <is>
          <t>をクリック</t>
        </is>
      </c>
      <c r="D133" s="142" t="n"/>
      <c r="E133" s="142" t="n"/>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ht="6" customHeight="1"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9"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ht="25.5" customHeight="1"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c r="A139" s="216" t="n"/>
      <c r="B139" s="121" t="n"/>
      <c r="C139" s="142" t="n"/>
      <c r="D139" s="216" t="n"/>
      <c r="E139" s="142"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6"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c r="A147" s="216" t="n"/>
      <c r="B147" s="121" t="n"/>
      <c r="C147" s="142" t="n"/>
      <c r="D147" s="216"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c r="A148" s="216" t="n"/>
      <c r="B148" s="449" t="inlineStr">
        <is>
          <t>財務情報入力</t>
        </is>
      </c>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c r="A149" s="216" t="n"/>
      <c r="B149" s="121" t="n"/>
      <c r="C149" s="142" t="n"/>
      <c r="D149" s="216"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c r="A150" s="268" t="inlineStr">
        <is>
          <t>◼️</t>
        </is>
      </c>
      <c r="B150" s="223" t="inlineStr">
        <is>
          <t>財務情報について</t>
        </is>
      </c>
      <c r="C150" s="224" t="n"/>
      <c r="D150" s="194"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c r="A151" s="145" t="n"/>
      <c r="B151" s="233" t="inlineStr">
        <is>
          <t>従業員数：正規雇用</t>
        </is>
      </c>
      <c r="C151" s="225">
        <f>'転記'!B66</f>
        <v/>
      </c>
      <c r="D151" s="226" t="inlineStr">
        <is>
          <t>前期決算期末の人数</t>
        </is>
      </c>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c r="A152" s="145" t="n"/>
      <c r="B152" s="233" t="inlineStr">
        <is>
          <t>従業員数：契約社員</t>
        </is>
      </c>
      <c r="C152" s="225">
        <f>'転記'!B67</f>
        <v/>
      </c>
      <c r="D152" s="226" t="inlineStr">
        <is>
          <t>前期決算期末の人数</t>
        </is>
      </c>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c r="A153" s="145" t="n"/>
      <c r="B153" s="233" t="inlineStr">
        <is>
          <t>従業員数：パートアルバイト</t>
        </is>
      </c>
      <c r="C153" s="225">
        <f>'転記'!B68</f>
        <v/>
      </c>
      <c r="D153" s="226" t="inlineStr">
        <is>
          <t>前期決算期末の人数</t>
        </is>
      </c>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ht="9" customHeight="1"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ht="25.5" customHeight="1"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c r="A157" s="145" t="n"/>
      <c r="B157" s="233" t="inlineStr">
        <is>
          <t>粗利益</t>
        </is>
      </c>
      <c r="C157" s="451">
        <f>'生産性指標給与支給総額計算'!B11</f>
        <v/>
      </c>
      <c r="D157" s="453" t="n"/>
      <c r="E157" s="152" t="n"/>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ht="6" customHeight="1"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ht="9" customHeight="1"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ht="25.5" customHeight="1"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n"/>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c r="A179" s="145" t="n"/>
      <c r="B179" s="236" t="inlineStr">
        <is>
          <t>補助金を利用してもっとも改善したい業務プロセス最も期待するものに１つチェック</t>
        </is>
      </c>
      <c r="C179" s="247" t="n"/>
      <c r="D179" s="248" t="inlineStr">
        <is>
          <t>申請ツールの内容に合わせてプルダウンを選択選択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c r="A180" s="145" t="n"/>
      <c r="B180" s="236" t="inlineStr">
        <is>
          <t>今回の補助金の利用によって強化したい部門・部署・業務内容はどれですか（期待効果）</t>
        </is>
      </c>
      <c r="C180" s="247" t="n"/>
      <c r="D180" s="248" t="inlineStr">
        <is>
          <t>申請ツールの内容に合わせてプルダウンを選択選択</t>
        </is>
      </c>
      <c r="E180" s="152" t="n"/>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ht="6" customHeight="1" s="430">
      <c r="A181" s="145" t="n"/>
      <c r="B181" s="236" t="inlineStr">
        <is>
          <t>今回の補助金の利用によってどんな効果を期待しますか（期待効果）</t>
        </is>
      </c>
      <c r="C181" s="247" t="n"/>
      <c r="D181" s="248" t="inlineStr">
        <is>
          <t>申請ツールの内容に合わせてプルダウンを選択選択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ht="6" customHeight="1"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152" t="inlineStr">
        <is>
          <t>申請MTG時に選択いただく
「現在、そうしたデータ連携の予定は無く、作業の合理化のためのITツール導入を考えている」は選択しない</t>
        </is>
      </c>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152" t="inlineStr">
        <is>
          <t>申請MTG時に選択いただく
「現在、そうしたデータ連携の予定は無い」は選択しない</t>
        </is>
      </c>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ht="6" customHeight="1" s="430">
      <c r="A185" s="216" t="n"/>
      <c r="B185" s="252" t="inlineStr">
        <is>
          <t>アンケートは申請者様にご入力いただく</t>
        </is>
      </c>
      <c r="C185" s="253" t="n"/>
      <c r="D185" s="111"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c r="A186" s="216" t="n"/>
      <c r="B186" s="121" t="n"/>
      <c r="C186" s="142" t="n"/>
      <c r="D186" s="216"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6" customHeight="1" s="430">
      <c r="A187" s="216" t="n"/>
      <c r="B187" s="301" t="inlineStr">
        <is>
          <t>『  次へ  』</t>
        </is>
      </c>
      <c r="C187" s="142" t="inlineStr">
        <is>
          <t>をクリック</t>
        </is>
      </c>
      <c r="D187" s="142"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c r="A188" s="216" t="n"/>
      <c r="B188" s="121" t="n"/>
      <c r="C188" s="142" t="n"/>
      <c r="D188" s="216"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c r="A190" s="216" t="n"/>
      <c r="B190" s="121" t="n"/>
      <c r="C190" s="142" t="n"/>
      <c r="D190" s="216" t="n"/>
      <c r="E190" s="142"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ht="6" customHeight="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25.5"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75.75"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c r="A196" s="216" t="n"/>
      <c r="B196" s="121" t="n"/>
      <c r="C196" s="142" t="n"/>
      <c r="E196" s="142"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ht="6" customHeight="1"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ht="6" customHeight="1"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25.5"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c r="A202" s="216" t="n"/>
      <c r="B202" s="121" t="n"/>
      <c r="C202" s="142" t="n"/>
      <c r="D202" s="216" t="n"/>
      <c r="E202" s="142"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6"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c r="A204" s="216" t="n"/>
      <c r="B204" s="121" t="n"/>
      <c r="C204" s="142" t="n"/>
      <c r="D204" s="216" t="n"/>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ht="22.5" customHeight="1"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c r="A208" s="216" t="n"/>
      <c r="B208" s="121" t="n"/>
      <c r="C208" s="142" t="n"/>
      <c r="D208" s="216"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c r="A209" s="216" t="n"/>
      <c r="B209" s="301" t="inlineStr">
        <is>
          <t>『  宣誓する』</t>
        </is>
      </c>
      <c r="C209" s="142" t="inlineStr">
        <is>
          <t>をクリック</t>
        </is>
      </c>
      <c r="D209" s="142"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c r="A210" s="268" t="n"/>
      <c r="B210" s="269" t="n"/>
      <c r="C210" s="253" t="n"/>
      <c r="D210" s="111"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ht="6" customHeight="1" s="430">
      <c r="A220" s="194" t="n"/>
      <c r="B220" s="281" t="inlineStr">
        <is>
          <t>⇨年平均成長率：上記4点記入後、「年平均成長率計算」をクリック（申請画面上で1.5％以上であることを確認）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c r="A225" s="282" t="n"/>
      <c r="B225" s="270" t="inlineStr">
        <is>
          <t>表明を行った日付
※ダブルクリックでカレンダー表示</t>
        </is>
      </c>
      <c r="C225" s="287" t="n"/>
      <c r="D225" s="286" t="inlineStr">
        <is>
          <t>申請日より前の日付を設定（シート作成日）</t>
        </is>
      </c>
      <c r="E225" s="286" t="n"/>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ht="6" customHeight="1"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c r="A227" s="216" t="n"/>
      <c r="B227" s="284" t="inlineStr">
        <is>
          <t>給与担当者</t>
        </is>
      </c>
      <c r="C227" s="288">
        <f>'転記'!B85</f>
        <v/>
      </c>
      <c r="D227" s="290" t="inlineStr">
        <is>
          <t>経理・給与担当の方が不在の時は、役員も可
 ※漢字フルネーム</t>
        </is>
      </c>
      <c r="E227" s="286" t="n"/>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ht="6" customHeight="1"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ht="6" customHeight="1"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c r="A231" s="136" t="n"/>
      <c r="B231" s="276" t="inlineStr">
        <is>
          <t>賃金引上げ計画期間内において、従業員を雇用する場合、上記の賃金引上げ計画を従業員へ表明を行いますか？</t>
        </is>
      </c>
      <c r="C231" s="292" t="inlineStr">
        <is>
          <t>■はい
□いいえ</t>
        </is>
      </c>
      <c r="D231" s="152" t="n"/>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c r="A233" s="140" t="n"/>
      <c r="B233" s="293" t="n"/>
      <c r="C233" s="293" t="n"/>
      <c r="D233" s="293" t="n"/>
      <c r="E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ht="25.5" customHeight="1"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c r="A240" s="140" t="n"/>
      <c r="B240" s="219" t="inlineStr">
        <is>
          <t>ファイル添付</t>
        </is>
      </c>
      <c r="C240" s="216" t="inlineStr">
        <is>
          <t>HPから様式「賃金状況報告シート（加点措置②用）」をDL
必要事項を入力のうえ、提出</t>
        </is>
      </c>
      <c r="D240" s="143" t="inlineStr">
        <is>
          <t>【DLリンク】賃金状況報告シート（加点措置②用）</t>
        </is>
      </c>
      <c r="E240" s="145" t="n"/>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ht="6" customHeight="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ht="6" customHeight="1"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25.5"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c r="A246" s="216" t="n"/>
      <c r="B246" s="121" t="n"/>
      <c r="C246" s="142" t="n"/>
      <c r="D246" s="216" t="n"/>
      <c r="E246" s="142"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6"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ht="6" customHeight="1"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25.5"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31">
    <mergeCell ref="C16:E16"/>
    <mergeCell ref="B40:E40"/>
    <mergeCell ref="B14:D14"/>
    <mergeCell ref="B49:E49"/>
    <mergeCell ref="B8:D8"/>
    <mergeCell ref="B6:E6"/>
    <mergeCell ref="D147:D153"/>
    <mergeCell ref="B139:E139"/>
    <mergeCell ref="B33:E33"/>
    <mergeCell ref="B24:E24"/>
    <mergeCell ref="B5:E5"/>
    <mergeCell ref="B133:E133"/>
    <mergeCell ref="B126:E126"/>
    <mergeCell ref="B233:E233"/>
    <mergeCell ref="B227:E227"/>
    <mergeCell ref="D182:D188"/>
    <mergeCell ref="B190:E190"/>
    <mergeCell ref="B202:E202"/>
    <mergeCell ref="B15:B16"/>
    <mergeCell ref="B31:E31"/>
    <mergeCell ref="B180:E180"/>
    <mergeCell ref="B120:E120"/>
    <mergeCell ref="B240:E240"/>
    <mergeCell ref="B225:E225"/>
    <mergeCell ref="D207:D210"/>
    <mergeCell ref="B157:E157"/>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7">
    <dataValidation sqref="C71" showDropDown="0" showInputMessage="0" showErrorMessage="1" allowBlank="1" type="list">
      <formula1>"scale,クラフトバンクオフィス"</formula1>
    </dataValidation>
    <dataValidation sqref="C204" showDropDown="0" showInputMessage="0" showErrorMessage="1" allowBlank="1" type="list">
      <formula1>'プルダウン用'!$B$2:$B$48</formula1>
    </dataValidation>
    <dataValidation sqref="C171" showDropDown="0" showInputMessage="0" showErrorMessage="1" allowBlank="1" type="list">
      <formula1>'プルダウン用'!$J$2:$J$12</formula1>
    </dataValidation>
    <dataValidation sqref="C115" showDropDown="0" showInputMessage="0" showErrorMessage="1" allowBlank="1" type="list">
      <formula1>"くるみん認定,プラチナくるみん認定, トライくるみん認定 ,認定なし"</formula1>
    </dataValidation>
    <dataValidation sqref="C116 C128" showDropDown="0" showInputMessage="0" showErrorMessage="1" allowBlank="1" type="list">
      <formula1>"実施している,実施していない"</formula1>
    </dataValidation>
    <dataValidation sqref="C114" showDropDown="0" showInputMessage="0" showErrorMessage="1" allowBlank="1" type="list">
      <formula1>"えるぼし認定,プラチナえるぼし,認定なし"</formula1>
    </dataValidation>
    <dataValidation sqref="C170" showDropDown="0" showInputMessage="0" showErrorMessage="1" allowBlank="1" type="list">
      <formula1>'プルダウン用'!$I$2:$I$12</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63" showDropDown="0" showInputMessage="0" showErrorMessage="1" allowBlank="1" type="list">
      <formula1>'プルダウン用'!$F$2:$F$13</formula1>
    </dataValidation>
    <dataValidation sqref="C172" showDropDown="0" showInputMessage="0" showErrorMessage="1" allowBlank="1" type="list">
      <formula1>'プルダウン用'!$K$2:$K$12</formula1>
    </dataValidation>
    <dataValidation sqref="C161" showDropDown="0" showInputMessage="0" showErrorMessage="1" allowBlank="1" type="list">
      <formula1>'プルダウン用'!$E$2:$E$16</formula1>
    </dataValidation>
    <dataValidation sqref="C168" showDropDown="0" showInputMessage="0" showErrorMessage="1" allowBlank="1" type="list">
      <formula1>'プルダウン用'!$G$2:$G$12</formula1>
    </dataValidation>
    <dataValidation sqref="C113" showDropDown="0" showInputMessage="0" showErrorMessage="1" allowBlank="1" type="list">
      <formula1>"あり,なし"</formula1>
    </dataValidation>
    <dataValidation sqref="C135" showDropDown="0" showInputMessage="0" showErrorMessage="1" allowBlank="1" type="list">
      <formula1>#REF!</formula1>
    </dataValidation>
    <dataValidation sqref="C56:C57 C216" showDropDown="1" showInputMessage="0" showErrorMessage="0" allowBlank="1" type="custom">
      <formula1>OR(NOT(ISERROR(DATEVALUE(C56))), AND(ISNUMBER(C56), LEFT(CELL("format", C56))="D"))</formula1>
    </dataValidation>
    <dataValidation sqref="C214 C223"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'申請内容'!C151</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'申請内容'!C152</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'申請内容'!C153</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'申請内容'!C154</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'申請内容'!C155</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E17</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row>
    <row r="7">
      <c r="A7" s="372" t="n">
        <v>5</v>
      </c>
      <c r="B7" s="383" t="n"/>
      <c r="C7" s="383" t="n"/>
      <c r="D7" s="381" t="n"/>
      <c r="E7" s="381" t="n"/>
      <c r="F7" s="381" t="n"/>
      <c r="G7" s="381" t="n"/>
      <c r="H7" s="377">
        <f>E7*F7*G7</f>
        <v/>
      </c>
      <c r="I7" s="327" t="n"/>
      <c r="J7" s="327" t="n"/>
      <c r="K7" s="327" t="n"/>
    </row>
    <row r="8">
      <c r="A8" s="327" t="n"/>
      <c r="B8" s="327" t="n"/>
      <c r="C8" s="327" t="n"/>
      <c r="D8" s="327" t="n"/>
      <c r="E8" s="384" t="inlineStr">
        <is>
          <t>合計金額（税抜）</t>
        </is>
      </c>
      <c r="F8" s="327" t="n"/>
      <c r="G8" s="327" t="n"/>
      <c r="H8" s="385">
        <f>SUM(H3:H7)</f>
        <v/>
      </c>
      <c r="I8" s="327" t="n"/>
      <c r="J8" s="327" t="n"/>
      <c r="K8" s="327" t="n"/>
    </row>
    <row r="9">
      <c r="A9" s="327" t="n"/>
      <c r="B9" s="327" t="n"/>
      <c r="C9" s="327" t="n"/>
      <c r="D9" s="327" t="n"/>
      <c r="E9" s="386" t="inlineStr">
        <is>
          <t>消費税</t>
        </is>
      </c>
      <c r="F9" s="327" t="n"/>
      <c r="G9" s="327" t="n"/>
      <c r="H9" s="387">
        <f>H8*0.1</f>
        <v/>
      </c>
      <c r="I9" s="327" t="n"/>
      <c r="J9" s="327" t="n"/>
      <c r="K9" s="327" t="n"/>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2">
    <dataValidation sqref="D7" showDropDown="0" showInputMessage="0" showErrorMessage="1" allowBlank="1" type="list">
      <formula1>"HITORERU_トライアル,HITORERU_NEXT,HITORERU_EX,HITORERU_導入設定費用,HITORERU_導入コンサルティング,HITORERU_サポート費用,HITORERU_導入研修費用,マネーフォワードクラウド年額ビジネス,マネーフォワードクラウド確定申告パーソナル（年払い）,マネーフォワード_導入設定,マネーフォワードクラウド_導入研修,会計ソフト_保守サポート,freee会計_ベーシックプラン,freee_会計 個人スタンダード,freee会計_導入研修,freee会計"&amp;"_導入設定,Lステップ_スタートプラン,Lステップ_スタンダードプラン,Lステップ_プロプラン,Lステップ_保守・サポート,Fulfill-system_決済管理システム,Fulfill-system_売上・請求管理システム,Fulfill-system_導入研修,Fulfill-system_導入設定,BREMS_ソフトウェア,BREMS_導入研修,BREMS_保守サポート"</formula1>
    </dataValidation>
    <dataValidation sqref="D3:D6" showDropDown="0" showInputMessage="0" showErrorMessage="1" allowBlank="1" type="list">
      <formula1>"目標管理クラウドcbox_ベーシック,目標管理クラウドcbox_スタンダード,目標管理クラウドcbox_プレミアム,目標管理クラウドcbox_ベーシック_初期設定,目標管理クラウドcbox_ベーシック_保守・サポート,目標管理クラウドcbox_導入・活用コンサルティング,目標管理クラウドcbox_スタンダード_初期設定,目標管理クラウドcbox_スタンダード_保守・サポート,目標管理クラウドcbox_プレミアム_初期設定,目標管理クラウドcbox_プレミアム_保守・サポート"</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n"/>
      <c r="B3" s="417" t="inlineStr">
        <is>
          <t>目標管理クラウドcbox_ベーシック</t>
        </is>
      </c>
      <c r="C3" s="418" t="inlineStr">
        <is>
          <t>DL04-0028197-002</t>
        </is>
      </c>
      <c r="D3" s="327" t="n"/>
      <c r="E3" s="417" t="inlineStr">
        <is>
          <t>cbox001</t>
        </is>
      </c>
      <c r="F3" s="463" t="n">
        <v>2040</v>
      </c>
      <c r="G3" s="463" t="n">
        <v>14400</v>
      </c>
      <c r="H3" s="417" t="inlineStr">
        <is>
          <t>目標管理クラウドcbox_ベーシック</t>
        </is>
      </c>
    </row>
    <row r="4">
      <c r="A4" s="416" t="n"/>
      <c r="B4" s="420" t="inlineStr">
        <is>
          <t>目標管理クラウドcbox_スタンダード</t>
        </is>
      </c>
      <c r="C4" s="421" t="inlineStr">
        <is>
          <t>DL06-0000658</t>
        </is>
      </c>
      <c r="D4" s="422" t="n"/>
      <c r="E4" s="420" t="inlineStr">
        <is>
          <t>cbox009</t>
        </is>
      </c>
      <c r="F4" s="464" t="n">
        <v>3240</v>
      </c>
      <c r="G4" s="464" t="n">
        <v>38400</v>
      </c>
      <c r="H4" s="420" t="inlineStr">
        <is>
          <t>目標管理クラウドcbox_スタンダード</t>
        </is>
      </c>
    </row>
    <row r="5">
      <c r="A5" s="416" t="n"/>
      <c r="B5" s="417" t="inlineStr">
        <is>
          <t>目標管理クラウドcbox_プレミアム</t>
        </is>
      </c>
      <c r="C5" s="418" t="inlineStr">
        <is>
          <t>DL06-0000675</t>
        </is>
      </c>
      <c r="D5" s="422" t="n"/>
      <c r="E5" s="417" t="inlineStr">
        <is>
          <t>cbox010</t>
        </is>
      </c>
      <c r="F5" s="463" t="n">
        <v>4440</v>
      </c>
      <c r="G5" s="463" t="n">
        <v>62400</v>
      </c>
      <c r="H5" s="417" t="inlineStr">
        <is>
          <t>目標管理クラウドcbox_プレミアム</t>
        </is>
      </c>
    </row>
    <row r="6">
      <c r="A6" s="416" t="n"/>
      <c r="B6" s="420" t="inlineStr">
        <is>
          <t>目標管理クラウドcbox_ベーシック_初期設定</t>
        </is>
      </c>
      <c r="C6" s="421" t="inlineStr">
        <is>
          <t>DL06-0000291-001</t>
        </is>
      </c>
      <c r="D6" s="422" t="n"/>
      <c r="E6" s="420" t="inlineStr">
        <is>
          <t>cbox005</t>
        </is>
      </c>
      <c r="F6" s="464" t="n">
        <v>100000</v>
      </c>
      <c r="G6" s="464" t="n">
        <v>200000</v>
      </c>
      <c r="H6" s="420" t="inlineStr">
        <is>
          <t>目標管理クラウドcbox_ベーシック_初期設定</t>
        </is>
      </c>
    </row>
    <row r="7">
      <c r="A7" s="416" t="n"/>
      <c r="B7" s="417" t="inlineStr">
        <is>
          <t>目標管理クラウドcbox_ベーシック_保守・サポート</t>
        </is>
      </c>
      <c r="C7" s="418" t="inlineStr">
        <is>
          <t>DL06-0000622-001</t>
        </is>
      </c>
      <c r="D7" s="422" t="n"/>
      <c r="E7" s="417" t="inlineStr">
        <is>
          <t>cbox007</t>
        </is>
      </c>
      <c r="F7" s="465" t="n">
        <v>120000</v>
      </c>
      <c r="G7" s="465" t="n">
        <v>480000</v>
      </c>
      <c r="H7" s="417" t="inlineStr">
        <is>
          <t>目標管理クラウドcbox_ベーシック_保守・サポート</t>
        </is>
      </c>
    </row>
    <row r="8">
      <c r="A8" s="416" t="n"/>
      <c r="B8" s="420" t="inlineStr">
        <is>
          <t>目標管理クラウドcbox_導入・活用コンサルティング</t>
        </is>
      </c>
      <c r="C8" s="421" t="inlineStr">
        <is>
          <t>DL06-0000623</t>
        </is>
      </c>
      <c r="D8" s="422" t="n"/>
      <c r="E8" s="420" t="inlineStr">
        <is>
          <t>cbox008</t>
        </is>
      </c>
      <c r="F8" s="464" t="n">
        <v>600000</v>
      </c>
      <c r="G8" s="464" t="n">
        <v>1200000</v>
      </c>
      <c r="H8" s="420" t="inlineStr">
        <is>
          <t>目標管理クラウドcbox_導入・活用コンサルティング</t>
        </is>
      </c>
    </row>
    <row r="9">
      <c r="A9" s="416" t="n"/>
      <c r="B9" s="417" t="inlineStr">
        <is>
          <t>目標管理クラウドcbox_スタンダード_初期設定</t>
        </is>
      </c>
      <c r="C9" s="418" t="inlineStr">
        <is>
          <t>DL06-0008895</t>
        </is>
      </c>
      <c r="D9" s="422" t="n"/>
      <c r="E9" s="417" t="inlineStr">
        <is>
          <t>cbox011</t>
        </is>
      </c>
      <c r="F9" s="463" t="n">
        <v>100000</v>
      </c>
      <c r="G9" s="463" t="n">
        <v>200000</v>
      </c>
      <c r="H9" s="417" t="inlineStr">
        <is>
          <t>目標管理クラウドcbox_スタンダード_初期設定</t>
        </is>
      </c>
    </row>
    <row r="10">
      <c r="A10" s="416" t="n"/>
      <c r="B10" s="420" t="inlineStr">
        <is>
          <t>目標管理クラウドcbox_スタンダード_保守・サポート</t>
        </is>
      </c>
      <c r="C10" s="421" t="inlineStr">
        <is>
          <t>DL06-0008910</t>
        </is>
      </c>
      <c r="D10" s="422" t="n"/>
      <c r="E10" s="420" t="inlineStr">
        <is>
          <t>cbox012</t>
        </is>
      </c>
      <c r="F10" s="464" t="n">
        <v>240000</v>
      </c>
      <c r="G10" s="466" t="n">
        <v>480000</v>
      </c>
      <c r="H10" s="420" t="inlineStr">
        <is>
          <t>目標管理クラウドcbox_スタンダード_保守・サポート</t>
        </is>
      </c>
    </row>
    <row r="11">
      <c r="A11" s="327" t="n"/>
      <c r="B11" s="417" t="inlineStr">
        <is>
          <t>目標管理クラウドcbox_プレミアム_初期設定</t>
        </is>
      </c>
      <c r="C11" s="418" t="inlineStr">
        <is>
          <t xml:space="preserve">DL06-0008947	</t>
        </is>
      </c>
      <c r="D11" s="422" t="n"/>
      <c r="E11" s="417" t="inlineStr">
        <is>
          <t>cbox013</t>
        </is>
      </c>
      <c r="F11" s="463" t="n">
        <v>100000</v>
      </c>
      <c r="G11" s="463" t="n">
        <v>200000</v>
      </c>
      <c r="H11" s="417" t="inlineStr">
        <is>
          <t>目標管理クラウドcbox_プレミアム_初期設定</t>
        </is>
      </c>
    </row>
    <row r="12">
      <c r="A12" s="416" t="n"/>
      <c r="B12" s="420" t="inlineStr">
        <is>
          <t>目標管理クラウドcbox_プレミアム_保守・サポート</t>
        </is>
      </c>
      <c r="C12" s="421" t="inlineStr">
        <is>
          <t xml:space="preserve">DL06-0008953	</t>
        </is>
      </c>
      <c r="D12" s="422" t="n"/>
      <c r="E12" s="420" t="inlineStr">
        <is>
          <t>cbox014</t>
        </is>
      </c>
      <c r="F12" s="464" t="n">
        <v>120000</v>
      </c>
      <c r="G12" s="464" t="n">
        <v>480000</v>
      </c>
      <c r="H12" s="420" t="inlineStr">
        <is>
          <t>目標管理クラウドcbox_プレミアム_保守・サポート</t>
        </is>
      </c>
    </row>
    <row r="13">
      <c r="A13" s="327" t="n"/>
      <c r="B13" s="417" t="inlineStr">
        <is>
          <t>貿易クラウド_利用料</t>
        </is>
      </c>
      <c r="C13" s="418" t="inlineStr">
        <is>
          <t>DL06-0000792</t>
        </is>
      </c>
      <c r="D13" s="422" t="n"/>
      <c r="E13" s="417" t="inlineStr">
        <is>
          <t>貿易001</t>
        </is>
      </c>
      <c r="F13" s="467" t="n"/>
      <c r="G13" s="467" t="n"/>
      <c r="H13" s="417" t="inlineStr">
        <is>
          <t>貿易クラウド_利用料</t>
        </is>
      </c>
    </row>
    <row r="14">
      <c r="A14" s="416" t="n"/>
      <c r="B14" s="420" t="inlineStr">
        <is>
          <t>AI Works_利用料</t>
        </is>
      </c>
      <c r="C14" s="421" t="inlineStr">
        <is>
          <t xml:space="preserve">DL06-0001191	</t>
        </is>
      </c>
      <c r="D14" s="422" t="n"/>
      <c r="E14" s="420" t="inlineStr">
        <is>
          <t>AIWorks001</t>
        </is>
      </c>
      <c r="F14" s="468" t="n"/>
      <c r="G14" s="468" t="n"/>
      <c r="H14" s="420" t="inlineStr">
        <is>
          <t>AI Works_利用料</t>
        </is>
      </c>
    </row>
    <row r="15">
      <c r="A15" s="416" t="n"/>
      <c r="B15" s="417" t="inlineStr">
        <is>
          <t>AI Works_利用料_初期設定</t>
        </is>
      </c>
      <c r="C15" s="418" t="inlineStr">
        <is>
          <t>DL06-0008993</t>
        </is>
      </c>
      <c r="D15" s="422" t="n"/>
      <c r="E15" s="417" t="inlineStr">
        <is>
          <t>AIWorks002</t>
        </is>
      </c>
      <c r="F15" s="467" t="n"/>
      <c r="G15" s="467" t="n"/>
      <c r="H15" s="417" t="inlineStr">
        <is>
          <t>AI Works_利用料_初期設定</t>
        </is>
      </c>
    </row>
    <row r="16">
      <c r="A16" s="416" t="n"/>
      <c r="B16" s="420" t="inlineStr">
        <is>
          <t>AI Works_利用料_保守・サポート</t>
        </is>
      </c>
      <c r="C16" s="421" t="inlineStr">
        <is>
          <t>DL06-0009167</t>
        </is>
      </c>
      <c r="D16" s="422" t="n"/>
      <c r="E16" s="420" t="inlineStr">
        <is>
          <t>AIWorks003</t>
        </is>
      </c>
      <c r="F16" s="468" t="n"/>
      <c r="G16" s="468" t="n"/>
      <c r="H16" s="420" t="inlineStr">
        <is>
          <t>AI Works_利用料_保守・サポート</t>
        </is>
      </c>
    </row>
    <row r="17">
      <c r="A17" s="416" t="n"/>
      <c r="B17" s="417" t="inlineStr">
        <is>
          <t>AI Works_導入活用コンサルティング</t>
        </is>
      </c>
      <c r="C17" s="418" t="inlineStr">
        <is>
          <t>DL06-0009576</t>
        </is>
      </c>
      <c r="D17" s="422" t="n"/>
      <c r="E17" s="417" t="inlineStr">
        <is>
          <t>AIWorks004</t>
        </is>
      </c>
      <c r="F17" s="467" t="n"/>
      <c r="G17" s="467" t="n"/>
      <c r="H17" s="417" t="inlineStr">
        <is>
          <t>AI Works_導入活用コンサルティング</t>
        </is>
      </c>
    </row>
    <row r="18">
      <c r="A18" s="416" t="n"/>
      <c r="B18" s="420" t="inlineStr">
        <is>
          <t>LINE公式アカウント_ライトプラン</t>
        </is>
      </c>
      <c r="C18" s="421" t="inlineStr">
        <is>
          <t>DL06-0001270</t>
        </is>
      </c>
      <c r="D18" s="422" t="n"/>
      <c r="E18" s="420" t="inlineStr">
        <is>
          <t>LINE公式アカウント001</t>
        </is>
      </c>
      <c r="F18" s="468" t="n"/>
      <c r="G18" s="468" t="n"/>
      <c r="H18" s="420" t="inlineStr">
        <is>
          <t>LINE公式アカウント_ライトプラン</t>
        </is>
      </c>
    </row>
    <row r="19">
      <c r="A19" s="416" t="n"/>
      <c r="B19" s="417" t="inlineStr">
        <is>
          <t>LINE公式アカウント_スタンダードプラン</t>
        </is>
      </c>
      <c r="C19" s="418" t="inlineStr">
        <is>
          <t>DL06-0001831</t>
        </is>
      </c>
      <c r="D19" s="422" t="n"/>
      <c r="E19" s="417" t="inlineStr">
        <is>
          <t>LINE公式アカウント002</t>
        </is>
      </c>
      <c r="F19" s="467" t="n"/>
      <c r="G19" s="467" t="n"/>
      <c r="H19" s="417" t="inlineStr">
        <is>
          <t>LINE公式アカウント_スタンダードプラン</t>
        </is>
      </c>
    </row>
    <row r="20">
      <c r="A20" s="416" t="n"/>
      <c r="B20" s="420" t="inlineStr">
        <is>
          <t>Lステップ_スタートプラン</t>
        </is>
      </c>
      <c r="C20" s="421" t="inlineStr">
        <is>
          <t xml:space="preserve">DL06-0001835	</t>
        </is>
      </c>
      <c r="D20" s="422" t="n"/>
      <c r="E20" s="420" t="inlineStr">
        <is>
          <t>Lステップ001</t>
        </is>
      </c>
      <c r="F20" s="468" t="n"/>
      <c r="G20" s="468" t="n"/>
      <c r="H20" s="420" t="inlineStr">
        <is>
          <t>Lステップ_スタートプラン</t>
        </is>
      </c>
    </row>
    <row r="21">
      <c r="A21" s="416" t="n"/>
      <c r="B21" s="417" t="inlineStr">
        <is>
          <t>Lステップ_スタンダードプラン</t>
        </is>
      </c>
      <c r="C21" s="418" t="inlineStr">
        <is>
          <t>DL06-0001844</t>
        </is>
      </c>
      <c r="D21" s="422" t="n"/>
      <c r="E21" s="417" t="inlineStr">
        <is>
          <t>Lステップ002</t>
        </is>
      </c>
      <c r="F21" s="467" t="n"/>
      <c r="G21" s="467" t="n"/>
      <c r="H21" s="417" t="inlineStr">
        <is>
          <t>Lステップ_スタンダードプラン</t>
        </is>
      </c>
    </row>
    <row r="22">
      <c r="A22" s="416" t="n"/>
      <c r="B22" s="420" t="inlineStr">
        <is>
          <t>Lステップ_プロプラン</t>
        </is>
      </c>
      <c r="C22" s="421" t="inlineStr">
        <is>
          <t>DL06-0001845</t>
        </is>
      </c>
      <c r="D22" s="422" t="n"/>
      <c r="E22" s="420" t="inlineStr">
        <is>
          <t>Lステップ003</t>
        </is>
      </c>
      <c r="F22" s="468" t="n"/>
      <c r="G22" s="468" t="n"/>
      <c r="H22" s="420" t="inlineStr">
        <is>
          <t>Lステップ_プロプラン</t>
        </is>
      </c>
    </row>
    <row r="23">
      <c r="A23" s="416" t="n"/>
      <c r="B23" s="417" t="inlineStr">
        <is>
          <t>UTAGE_ライトプラン</t>
        </is>
      </c>
      <c r="C23" s="418" t="inlineStr">
        <is>
          <t>DL06-0002368</t>
        </is>
      </c>
      <c r="D23" s="422" t="n"/>
      <c r="E23" s="417" t="inlineStr">
        <is>
          <t xml:space="preserve">	UTAGE001</t>
        </is>
      </c>
      <c r="F23" s="467" t="n"/>
      <c r="G23" s="467" t="n"/>
      <c r="H23" s="417" t="inlineStr">
        <is>
          <t>UTAGE_ライトプラン</t>
        </is>
      </c>
    </row>
    <row r="24">
      <c r="A24" s="416" t="n"/>
      <c r="B24" s="420" t="inlineStr">
        <is>
          <t>UTAGE_スタンダードプラン</t>
        </is>
      </c>
      <c r="C24" s="421" t="inlineStr">
        <is>
          <t>DL06-0002376</t>
        </is>
      </c>
      <c r="D24" s="422" t="n"/>
      <c r="E24" s="420" t="inlineStr">
        <is>
          <t>UTAGE002</t>
        </is>
      </c>
      <c r="F24" s="468" t="n"/>
      <c r="G24" s="468" t="n"/>
      <c r="H24" s="420" t="inlineStr">
        <is>
          <t>UTAGE_スタンダードプラン</t>
        </is>
      </c>
    </row>
    <row r="25">
      <c r="A25" s="416" t="n"/>
      <c r="B25" s="417" t="inlineStr">
        <is>
          <t>せきなび_スタンダード</t>
        </is>
      </c>
      <c r="C25" s="418" t="inlineStr">
        <is>
          <t>DL06-0002760</t>
        </is>
      </c>
      <c r="D25" s="422" t="n"/>
      <c r="E25" s="417" t="inlineStr">
        <is>
          <t>seknavi01</t>
        </is>
      </c>
      <c r="F25" s="467" t="n"/>
      <c r="G25" s="467" t="n"/>
      <c r="H25" s="417" t="inlineStr">
        <is>
          <t>せきなび_スタンダード</t>
        </is>
      </c>
    </row>
    <row r="26">
      <c r="A26" s="416" t="n"/>
      <c r="B26" s="420" t="inlineStr">
        <is>
          <t>CRS人材募集管理システム_ベーシック</t>
        </is>
      </c>
      <c r="C26" s="421" t="inlineStr">
        <is>
          <t>DL06-0003676</t>
        </is>
      </c>
      <c r="D26" s="422" t="n"/>
      <c r="E26" s="420" t="inlineStr">
        <is>
          <t>CRS001</t>
        </is>
      </c>
      <c r="F26" s="468" t="n"/>
      <c r="G26" s="468" t="n"/>
      <c r="H26" s="420" t="inlineStr">
        <is>
          <t>CRS人材募集管理システム_ベーシック</t>
        </is>
      </c>
    </row>
    <row r="27">
      <c r="A27" s="327" t="n"/>
      <c r="B27" s="417" t="inlineStr">
        <is>
          <t>CRS人材募集管理システム_ベーシック_初期導入</t>
        </is>
      </c>
      <c r="C27" s="418" t="inlineStr">
        <is>
          <t>DL06-0015862-001</t>
        </is>
      </c>
      <c r="D27" s="422" t="n"/>
      <c r="E27" s="417" t="inlineStr">
        <is>
          <t>CRS003</t>
        </is>
      </c>
      <c r="F27" s="467" t="n"/>
      <c r="G27" s="467" t="n"/>
      <c r="H27" s="417" t="inlineStr">
        <is>
          <t>CRS人材募集管理システム_ベーシック_初期導入</t>
        </is>
      </c>
    </row>
    <row r="28">
      <c r="A28" s="327" t="n"/>
      <c r="B28" s="420" t="inlineStr">
        <is>
          <t>CRS人材募集管理システム_ベーシック_保守・サポート</t>
        </is>
      </c>
      <c r="C28" s="421" t="inlineStr">
        <is>
          <t>DL06-0015867-001</t>
        </is>
      </c>
      <c r="D28" s="422" t="n"/>
      <c r="E28" s="420" t="inlineStr">
        <is>
          <t>CRS004</t>
        </is>
      </c>
      <c r="F28" s="468" t="n"/>
      <c r="G28" s="468" t="n"/>
      <c r="H28" s="420" t="inlineStr">
        <is>
          <t>CRS人材募集管理システム_ベーシック_保守・サポート</t>
        </is>
      </c>
    </row>
    <row r="29">
      <c r="A29" s="327" t="n"/>
      <c r="B29" s="327" t="n"/>
      <c r="C29" s="327" t="n"/>
      <c r="D29" s="327" t="n"/>
      <c r="E29" s="327" t="n"/>
      <c r="F29" s="469" t="n"/>
      <c r="G29" s="469" t="n"/>
      <c r="H29" s="327" t="n"/>
    </row>
    <row r="30">
      <c r="A30" s="327" t="n"/>
      <c r="B30" s="327" t="n"/>
      <c r="C30" s="422" t="n"/>
      <c r="D30" s="422" t="n"/>
      <c r="E30" s="422" t="n"/>
      <c r="F30" s="469" t="n"/>
      <c r="G30" s="469" t="n"/>
      <c r="H30" s="327" t="n"/>
    </row>
    <row r="31">
      <c r="A31" s="327" t="n"/>
      <c r="B31" s="327" t="n"/>
      <c r="C31" s="422" t="n"/>
      <c r="D31" s="422" t="n"/>
      <c r="E31" s="327" t="n"/>
      <c r="F31" s="469" t="n"/>
      <c r="G31" s="469" t="n"/>
      <c r="H31" s="327" t="n"/>
    </row>
    <row r="32">
      <c r="A32" s="327" t="n"/>
      <c r="B32" s="327" t="n"/>
      <c r="C32" s="327" t="n"/>
      <c r="D32" s="327" t="n"/>
      <c r="E32" s="327" t="n"/>
      <c r="F32" s="469" t="n"/>
      <c r="G32" s="469" t="n"/>
      <c r="H32" s="327" t="n"/>
    </row>
    <row r="33">
      <c r="A33" s="327" t="n"/>
      <c r="B33" s="327" t="n"/>
      <c r="C33" s="327" t="n"/>
      <c r="D33" s="327" t="n"/>
      <c r="E33" s="327" t="n"/>
      <c r="F33" s="469" t="n"/>
      <c r="G33" s="469" t="n"/>
      <c r="H33" s="327" t="n"/>
    </row>
    <row r="34">
      <c r="A34" s="327" t="n"/>
      <c r="B34" s="327" t="n"/>
      <c r="C34" s="327" t="n"/>
      <c r="D34" s="327" t="n"/>
      <c r="E34" s="327" t="n"/>
      <c r="F34" s="469" t="n"/>
      <c r="G34" s="469" t="n"/>
      <c r="H34" s="327" t="n"/>
    </row>
    <row r="35">
      <c r="A35" s="327" t="n"/>
      <c r="B35" s="327" t="n"/>
      <c r="C35" s="327" t="n"/>
      <c r="D35" s="327" t="n"/>
      <c r="E35" s="327" t="n"/>
      <c r="F35" s="469" t="n"/>
      <c r="G35" s="469" t="n"/>
      <c r="H35" s="327" t="n"/>
    </row>
    <row r="36">
      <c r="A36" s="327" t="n"/>
      <c r="B36" s="327" t="n"/>
      <c r="C36" s="327" t="n"/>
      <c r="D36" s="327" t="n"/>
      <c r="E36" s="327" t="n"/>
      <c r="F36" s="469" t="n"/>
      <c r="G36" s="469" t="n"/>
      <c r="H36" s="327" t="n"/>
    </row>
    <row r="37">
      <c r="A37" s="327" t="n"/>
      <c r="B37" s="327" t="n"/>
      <c r="C37" s="327" t="n"/>
      <c r="D37" s="327" t="n"/>
      <c r="E37" s="327" t="n"/>
      <c r="F37" s="469" t="n"/>
      <c r="G37" s="469" t="n"/>
      <c r="H37" s="327" t="n"/>
    </row>
    <row r="38">
      <c r="A38" s="327" t="n"/>
      <c r="B38" s="327" t="n"/>
      <c r="C38" s="327" t="n"/>
      <c r="D38" s="327" t="n"/>
      <c r="E38" s="327" t="n"/>
      <c r="F38" s="469" t="n"/>
      <c r="G38" s="469" t="n"/>
      <c r="H38" s="327" t="n"/>
    </row>
    <row r="39">
      <c r="A39" s="327" t="n"/>
      <c r="B39" s="327" t="n"/>
      <c r="C39" s="327" t="n"/>
      <c r="D39" s="327" t="n"/>
      <c r="E39" s="327" t="n"/>
      <c r="F39" s="469" t="n"/>
      <c r="G39" s="469" t="n"/>
      <c r="H39" s="327" t="n"/>
    </row>
    <row r="40">
      <c r="A40" s="327" t="n"/>
      <c r="B40" s="327" t="n"/>
      <c r="C40" s="327" t="n"/>
      <c r="D40" s="327" t="n"/>
      <c r="E40" s="327" t="n"/>
      <c r="F40" s="469" t="n"/>
      <c r="G40" s="469" t="n"/>
      <c r="H40" s="327" t="n"/>
    </row>
    <row r="41">
      <c r="A41" s="327" t="n"/>
      <c r="B41" s="327" t="n"/>
      <c r="C41" s="327" t="n"/>
      <c r="D41" s="327" t="n"/>
      <c r="E41" s="327" t="n"/>
      <c r="F41" s="469" t="n"/>
      <c r="G41" s="469" t="n"/>
      <c r="H41" s="327" t="n"/>
    </row>
    <row r="42">
      <c r="A42" s="327" t="n"/>
      <c r="B42" s="327" t="n"/>
      <c r="C42" s="327" t="n"/>
      <c r="D42" s="327" t="n"/>
      <c r="E42" s="327" t="n"/>
      <c r="F42" s="469" t="n"/>
      <c r="G42" s="469" t="n"/>
      <c r="H42" s="327" t="n"/>
    </row>
    <row r="43">
      <c r="A43" s="327" t="n"/>
      <c r="B43" s="327" t="n"/>
      <c r="C43" s="327" t="n"/>
      <c r="D43" s="327" t="n"/>
      <c r="E43" s="327" t="n"/>
      <c r="F43" s="469" t="n"/>
      <c r="G43" s="469" t="n"/>
      <c r="H43" s="327" t="n"/>
    </row>
    <row r="44">
      <c r="A44" s="327" t="n"/>
      <c r="B44" s="327" t="n"/>
      <c r="C44" s="327" t="n"/>
      <c r="D44" s="327" t="n"/>
      <c r="E44" s="327" t="n"/>
      <c r="F44" s="469" t="n"/>
      <c r="G44" s="469" t="n"/>
      <c r="H44" s="327" t="n"/>
    </row>
    <row r="45">
      <c r="A45" s="327" t="n"/>
      <c r="B45" s="327" t="n"/>
      <c r="C45" s="327" t="n"/>
      <c r="D45" s="327" t="n"/>
      <c r="E45" s="327" t="n"/>
      <c r="F45" s="469" t="n"/>
      <c r="G45" s="469" t="n"/>
      <c r="H45" s="327" t="n"/>
    </row>
    <row r="46">
      <c r="A46" s="327" t="n"/>
      <c r="B46" s="327" t="n"/>
      <c r="C46" s="327" t="n"/>
      <c r="D46" s="327" t="n"/>
      <c r="E46" s="327" t="n"/>
      <c r="F46" s="469" t="n"/>
      <c r="G46" s="469" t="n"/>
      <c r="H46" s="327" t="n"/>
    </row>
    <row r="47">
      <c r="A47" s="327" t="n"/>
      <c r="B47" s="327" t="n"/>
      <c r="C47" s="327" t="n"/>
      <c r="D47" s="327" t="n"/>
      <c r="E47" s="327" t="n"/>
      <c r="F47" s="469" t="n"/>
      <c r="G47" s="469" t="n"/>
      <c r="H47" s="327" t="n"/>
    </row>
    <row r="48">
      <c r="A48" s="327" t="n"/>
      <c r="B48" s="327" t="n"/>
      <c r="C48" s="327" t="n"/>
      <c r="D48" s="327" t="n"/>
      <c r="E48" s="327" t="n"/>
      <c r="F48" s="469" t="n"/>
      <c r="G48" s="469" t="n"/>
      <c r="H48" s="327" t="n"/>
    </row>
    <row r="49">
      <c r="A49" s="327" t="n"/>
      <c r="B49" s="327" t="n"/>
      <c r="C49" s="327" t="n"/>
      <c r="D49" s="327" t="n"/>
      <c r="E49" s="327" t="n"/>
      <c r="F49" s="469" t="n"/>
      <c r="G49" s="469" t="n"/>
      <c r="H49" s="327" t="n"/>
    </row>
    <row r="50">
      <c r="A50" s="327" t="n"/>
      <c r="B50" s="327" t="n"/>
      <c r="C50" s="327" t="n"/>
      <c r="D50" s="327" t="n"/>
      <c r="E50" s="327" t="n"/>
      <c r="F50" s="469" t="n"/>
      <c r="G50" s="469" t="n"/>
      <c r="H50" s="327" t="n"/>
    </row>
    <row r="51">
      <c r="A51" s="327" t="n"/>
      <c r="B51" s="327" t="n"/>
      <c r="C51" s="327" t="n"/>
      <c r="D51" s="327" t="n"/>
      <c r="E51" s="327" t="n"/>
      <c r="F51" s="469" t="n"/>
      <c r="G51" s="469" t="n"/>
      <c r="H51" s="327" t="n"/>
    </row>
    <row r="52">
      <c r="A52" s="327" t="n"/>
      <c r="B52" s="327" t="n"/>
      <c r="C52" s="327" t="n"/>
      <c r="D52" s="327" t="n"/>
      <c r="E52" s="327" t="n"/>
      <c r="F52" s="469" t="n"/>
      <c r="G52" s="469" t="n"/>
      <c r="H52" s="327" t="n"/>
    </row>
    <row r="53">
      <c r="A53" s="327" t="n"/>
      <c r="B53" s="327" t="n"/>
      <c r="C53" s="327" t="n"/>
      <c r="D53" s="327" t="n"/>
      <c r="E53" s="327" t="n"/>
      <c r="F53" s="469" t="n"/>
      <c r="G53" s="469" t="n"/>
      <c r="H53" s="327" t="n"/>
    </row>
    <row r="54">
      <c r="A54" s="327" t="n"/>
      <c r="B54" s="327" t="n"/>
      <c r="C54" s="327" t="n"/>
      <c r="D54" s="327" t="n"/>
      <c r="E54" s="327" t="n"/>
      <c r="F54" s="469" t="n"/>
      <c r="G54" s="469" t="n"/>
      <c r="H54" s="327" t="n"/>
    </row>
    <row r="55">
      <c r="A55" s="327" t="n"/>
      <c r="B55" s="327" t="n"/>
      <c r="C55" s="327" t="n"/>
      <c r="D55" s="327" t="n"/>
      <c r="E55" s="327" t="n"/>
      <c r="F55" s="469" t="n"/>
      <c r="G55" s="469" t="n"/>
      <c r="H55" s="327" t="n"/>
    </row>
    <row r="56">
      <c r="A56" s="327" t="n"/>
      <c r="B56" s="327" t="n"/>
      <c r="C56" s="327" t="n"/>
      <c r="D56" s="327" t="n"/>
      <c r="E56" s="327" t="n"/>
      <c r="F56" s="469" t="n"/>
      <c r="G56" s="469" t="n"/>
      <c r="H56" s="327" t="n"/>
    </row>
    <row r="57">
      <c r="A57" s="327" t="n"/>
      <c r="B57" s="327" t="n"/>
      <c r="C57" s="327" t="n"/>
      <c r="D57" s="327" t="n"/>
      <c r="E57" s="327" t="n"/>
      <c r="F57" s="469" t="n"/>
      <c r="G57" s="469" t="n"/>
      <c r="H57" s="327" t="n"/>
    </row>
    <row r="58">
      <c r="A58" s="327" t="n"/>
      <c r="B58" s="327" t="n"/>
      <c r="C58" s="327" t="n"/>
      <c r="D58" s="327" t="n"/>
      <c r="E58" s="327" t="n"/>
      <c r="F58" s="469" t="n"/>
      <c r="G58" s="469" t="n"/>
      <c r="H58" s="327" t="n"/>
    </row>
    <row r="59">
      <c r="A59" s="327" t="n"/>
      <c r="B59" s="327" t="n"/>
      <c r="C59" s="327" t="n"/>
      <c r="D59" s="327" t="n"/>
      <c r="E59" s="327" t="n"/>
      <c r="F59" s="469" t="n"/>
      <c r="G59" s="469" t="n"/>
      <c r="H59" s="327" t="n"/>
    </row>
    <row r="60">
      <c r="A60" s="327" t="n"/>
      <c r="B60" s="327" t="n"/>
      <c r="C60" s="327" t="n"/>
      <c r="D60" s="327" t="n"/>
      <c r="E60" s="327" t="n"/>
      <c r="F60" s="469" t="n"/>
      <c r="G60" s="469" t="n"/>
      <c r="H60" s="327" t="n"/>
    </row>
    <row r="61">
      <c r="A61" s="327" t="n"/>
      <c r="B61" s="327" t="n"/>
      <c r="C61" s="327" t="n"/>
      <c r="D61" s="327" t="n"/>
      <c r="E61" s="327" t="n"/>
      <c r="F61" s="469" t="n"/>
      <c r="G61" s="469" t="n"/>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2026-04-06T02:39:29Z</dcterms:created>
  <dcterms:modified xsi:type="dcterms:W3CDTF">2026-04-06T02:39:29Z</dcterms:modified>
</cp:coreProperties>
</file>